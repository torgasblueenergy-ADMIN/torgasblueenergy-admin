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ahasiswa" sheetId="1" state="visible" r:id="rId1"/>
    <sheet xmlns:r="http://schemas.openxmlformats.org/officeDocument/2006/relationships" name="Input Status" sheetId="2" state="visible" r:id="rId2"/>
    <sheet xmlns:r="http://schemas.openxmlformats.org/officeDocument/2006/relationships" name="Laporan Progres" sheetId="3" state="visible" r:id="rId3"/>
    <sheet xmlns:r="http://schemas.openxmlformats.org/officeDocument/2006/relationships" name="Web (Publish)" sheetId="4" state="visible" r:id="rId4"/>
    <sheet xmlns:r="http://schemas.openxmlformats.org/officeDocument/2006/relationships" name="Pengaturan" sheetId="5" state="visible" r:id="rId5"/>
    <sheet xmlns:r="http://schemas.openxmlformats.org/officeDocument/2006/relationships" name="Petunjuk" sheetId="6" state="visible" r:id="rId6"/>
  </sheets>
  <definedNames>
    <definedName name="BOBOT">'Input Status'!$D$7:$Z$7</definedName>
    <definedName name="MULAI">('Input Status'!$D$5:$Z$5-1)</definedName>
    <definedName name="DURASI">'Input Status'!$D$6:$Z$6</definedName>
    <definedName name="PETA">Pengaturan!$A$6:$B$10</definedName>
    <definedName name="BOB_A">'Input Status'!$D$7:$J$7</definedName>
    <definedName name="BOB_B">'Input Status'!$K$7:$N$7</definedName>
    <definedName name="BOB_C">'Input Status'!$O$7:$T$7</definedName>
    <definedName name="BOB_D">'Input Status'!$U$7:$Z$7</definedName>
    <definedName name="_xlnm._FilterDatabase" localSheetId="0" hidden="1">'Data Mahasiswa'!$A$3:$I$28</definedName>
    <definedName name="_xlnm._FilterDatabase" localSheetId="2" hidden="1">'Laporan Progres'!$A$7:$S$32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+0%;-0%;0%"/>
  </numFmts>
  <fonts count="12">
    <font>
      <name val="Calibri"/>
      <family val="2"/>
      <color theme="1"/>
      <sz val="11"/>
      <scheme val="minor"/>
    </font>
    <font>
      <b val="1"/>
      <color rgb="FFFFFFFF"/>
      <sz val="14"/>
    </font>
    <font>
      <color rgb="FFCBD5E1"/>
      <sz val="9"/>
    </font>
    <font>
      <b val="1"/>
      <color rgb="FFFFFFFF"/>
      <sz val="9"/>
    </font>
    <font>
      <b val="1"/>
      <sz val="9"/>
    </font>
    <font>
      <b val="1"/>
      <color rgb="FF0096D7"/>
      <sz val="9"/>
    </font>
    <font>
      <b val="1"/>
      <color rgb="FF64748B"/>
      <sz val="8"/>
    </font>
    <font>
      <b val="1"/>
      <color rgb="FF041B2E"/>
      <sz val="16"/>
    </font>
    <font>
      <b val="1"/>
      <color rgb="FF041B2E"/>
      <sz val="10"/>
    </font>
    <font>
      <color rgb="FF64748B"/>
      <sz val="9"/>
    </font>
    <font>
      <b val="1"/>
      <color rgb="FF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FF041B2E"/>
      </patternFill>
    </fill>
    <fill>
      <patternFill patternType="solid">
        <fgColor rgb="FFFFF9DB"/>
      </patternFill>
    </fill>
    <fill>
      <patternFill patternType="solid">
        <fgColor rgb="FF0E3A56"/>
      </patternFill>
    </fill>
    <fill>
      <patternFill patternType="solid">
        <fgColor rgb="FFF1F5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0" fontId="4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5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wrapText="1"/>
    </xf>
    <xf numFmtId="0" fontId="7" fillId="6" borderId="1" applyAlignment="1" pivotButton="0" quotePrefix="0" xfId="0">
      <alignment horizontal="center"/>
    </xf>
    <xf numFmtId="9" fontId="7" fillId="6" borderId="1" applyAlignment="1" pivotButton="0" quotePrefix="0" xfId="0">
      <alignment horizontal="center"/>
    </xf>
    <xf numFmtId="164" fontId="7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0" borderId="1" pivotButton="0" quotePrefix="0" xfId="0"/>
    <xf numFmtId="9" fontId="0" fillId="3" borderId="1" applyAlignment="1" pivotButton="0" quotePrefix="0" xfId="0">
      <alignment horizontal="center"/>
    </xf>
    <xf numFmtId="0" fontId="9" fillId="0" borderId="1" pivotButton="0" quotePrefix="0" xfId="0"/>
    <xf numFmtId="1" fontId="0" fillId="3" borderId="1" applyAlignment="1" pivotButton="0" quotePrefix="0" xfId="0">
      <alignment horizontal="center"/>
    </xf>
    <xf numFmtId="0" fontId="10" fillId="2" borderId="0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FF047857"/>
      </font>
      <fill>
        <patternFill patternType="solid">
          <fgColor rgb="FFE7F8F1"/>
        </patternFill>
      </fill>
    </dxf>
    <dxf>
      <font>
        <b val="1"/>
        <color rgb="FF5B21B6"/>
      </font>
      <fill>
        <patternFill patternType="solid">
          <fgColor rgb="FFEDE9FE"/>
        </patternFill>
      </fill>
    </dxf>
    <dxf>
      <font>
        <b val="1"/>
        <color rgb="FF0A6C9B"/>
      </font>
      <fill>
        <patternFill patternType="solid">
          <fgColor rgb="FFE3F4FC"/>
        </patternFill>
      </fill>
    </dxf>
    <dxf>
      <font>
        <b val="1"/>
        <color rgb="FF92400E"/>
      </font>
      <fill>
        <patternFill patternType="solid">
          <fgColor rgb="FFFFF4E0"/>
        </patternFill>
      </fill>
    </dxf>
    <dxf>
      <font>
        <b val="1"/>
        <color rgb="FF991B1B"/>
      </font>
      <fill>
        <patternFill patternType="solid">
          <fgColor rgb="FF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20" customWidth="1" min="4" max="4"/>
    <col width="56" customWidth="1" min="5" max="5"/>
    <col width="30" customWidth="1" min="6" max="6"/>
    <col width="30" customWidth="1" min="7" max="7"/>
    <col width="16" customWidth="1" min="8" max="8"/>
    <col width="26" customWidth="1" min="9" max="9"/>
  </cols>
  <sheetData>
    <row r="1" ht="24" customHeight="1">
      <c r="A1" s="1" t="inlineStr">
        <is>
          <t>DATA MAHASISWA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Daftar induk mahasiswa bimbingan (maks. 25). Isi kolom kuning. 4 baris pertama adalah CONTOH - hapus isinya sebelum dipakai.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No</t>
        </is>
      </c>
      <c r="B3" s="4" t="inlineStr">
        <is>
          <t>Nama Mahasiswa</t>
        </is>
      </c>
      <c r="C3" s="4" t="inlineStr">
        <is>
          <t>NIM</t>
        </is>
      </c>
      <c r="D3" s="4" t="inlineStr">
        <is>
          <t>Program Studi</t>
        </is>
      </c>
      <c r="E3" s="4" t="inlineStr">
        <is>
          <t>Judul Skripsi</t>
        </is>
      </c>
      <c r="F3" s="4" t="inlineStr">
        <is>
          <t>Pembimbing 1</t>
        </is>
      </c>
      <c r="G3" s="4" t="inlineStr">
        <is>
          <t>Pembimbing 2</t>
        </is>
      </c>
      <c r="H3" s="4" t="inlineStr">
        <is>
          <t>Tanggal SK Diturunkan</t>
        </is>
      </c>
      <c r="I3" s="4" t="inlineStr">
        <is>
          <t>Catatan</t>
        </is>
      </c>
    </row>
    <row r="4">
      <c r="A4" s="5" t="n">
        <v>1</v>
      </c>
      <c r="B4" s="6" t="inlineStr">
        <is>
          <t>Muzhaffirah Gyda Kania Subagja</t>
        </is>
      </c>
      <c r="C4" s="6" t="inlineStr">
        <is>
          <t>230210230005</t>
        </is>
      </c>
      <c r="D4" s="6" t="inlineStr">
        <is>
          <t>Ilmu Kelautan</t>
        </is>
      </c>
      <c r="E4" s="7" t="inlineStr">
        <is>
          <t>Identifikasi dan Distribusi Mikroplastik pada Kedalaman Sedimen Mangrove Berbeda di Kabupaten Pasuruan, Jawa Timur</t>
        </is>
      </c>
      <c r="F4" s="7" t="inlineStr">
        <is>
          <t>Buntora Pasaribu, S.Pi., M.Sc., Ph.D</t>
        </is>
      </c>
      <c r="G4" s="7" t="inlineStr">
        <is>
          <t>Mochamad Rudyansyah Ismail, S.Pi., M.Si.</t>
        </is>
      </c>
      <c r="H4" s="8" t="n"/>
      <c r="I4" s="7" t="n"/>
    </row>
    <row r="5">
      <c r="A5" s="5" t="n">
        <v>2</v>
      </c>
      <c r="B5" s="6" t="inlineStr">
        <is>
          <t>An-Nisa Nurul Azqiya</t>
        </is>
      </c>
      <c r="C5" s="6" t="inlineStr">
        <is>
          <t>230210230018</t>
        </is>
      </c>
      <c r="D5" s="6" t="inlineStr">
        <is>
          <t>Ilmu Kelautan</t>
        </is>
      </c>
      <c r="E5" s="7" t="inlineStr">
        <is>
          <t>Identifikasi Dan Karakterisasi Polimer Mikroplastik Pada Teripang Di Perairan Pangandaran</t>
        </is>
      </c>
      <c r="F5" s="7" t="inlineStr">
        <is>
          <t>Buntora Pasaribu, S.Pi., M.Sc., Ph.D</t>
        </is>
      </c>
      <c r="G5" s="7" t="inlineStr">
        <is>
          <t>Ir. Muhammad Wahyudin Lewaru, S.Pi., M.Sc., CMT.</t>
        </is>
      </c>
      <c r="H5" s="8" t="n"/>
      <c r="I5" s="7" t="n"/>
    </row>
    <row r="6">
      <c r="A6" s="5" t="n">
        <v>3</v>
      </c>
      <c r="B6" s="6" t="inlineStr">
        <is>
          <t>Alifannursin Mahdan Atsrak</t>
        </is>
      </c>
      <c r="C6" s="6" t="inlineStr">
        <is>
          <t>230320250004</t>
        </is>
      </c>
      <c r="D6" s="6" t="inlineStr">
        <is>
          <t>Konservasi Laut</t>
        </is>
      </c>
      <c r="E6" s="7" t="inlineStr">
        <is>
          <t>Kajian Kontaminasi Mikroplastik pada Berbagai Kedalaman Sedimen serta pada Air dan Biota di Ekosistem Mangrove Kabupaten Gresik, Jawa Timur, Indonesia</t>
        </is>
      </c>
      <c r="F6" s="7" t="inlineStr">
        <is>
          <t>Buntora Pasaribu, S.Pi., M.Sc., Ph.D</t>
        </is>
      </c>
      <c r="G6" s="7" t="inlineStr"/>
      <c r="H6" s="8" t="n"/>
      <c r="I6" s="7" t="n"/>
    </row>
    <row r="7">
      <c r="A7" s="5" t="n">
        <v>4</v>
      </c>
      <c r="B7" s="6" t="inlineStr">
        <is>
          <t>Raziq Aldin</t>
        </is>
      </c>
      <c r="C7" s="6" t="inlineStr">
        <is>
          <t>230310220006</t>
        </is>
      </c>
      <c r="D7" s="6" t="inlineStr">
        <is>
          <t>Perikanan Laut Tropis</t>
        </is>
      </c>
      <c r="E7" s="7" t="inlineStr">
        <is>
          <t>Identifikasi Dan Karakteristik Mikroplastik Pada Kedalaman Sedimen Yang Berbeda Di Ekosistem Mangrove: Studi Kasus Kabupaten Pangandaran</t>
        </is>
      </c>
      <c r="F7" s="7" t="inlineStr">
        <is>
          <t>Buntora Pasaribu, S.Pi., M.Sc., Ph.D</t>
        </is>
      </c>
      <c r="G7" s="7" t="inlineStr"/>
      <c r="H7" s="8" t="n"/>
      <c r="I7" s="7" t="n"/>
    </row>
    <row r="8">
      <c r="A8" s="5" t="n">
        <v>5</v>
      </c>
      <c r="B8" s="6" t="n"/>
      <c r="C8" s="6" t="n"/>
      <c r="D8" s="6" t="n"/>
      <c r="E8" s="7" t="n"/>
      <c r="F8" s="7" t="n"/>
      <c r="G8" s="7" t="n"/>
      <c r="H8" s="8" t="n"/>
      <c r="I8" s="7" t="n"/>
    </row>
    <row r="9">
      <c r="A9" s="5" t="n">
        <v>6</v>
      </c>
      <c r="B9" s="6" t="n"/>
      <c r="C9" s="6" t="n"/>
      <c r="D9" s="6" t="n"/>
      <c r="E9" s="7" t="n"/>
      <c r="F9" s="7" t="n"/>
      <c r="G9" s="7" t="n"/>
      <c r="H9" s="8" t="n"/>
      <c r="I9" s="7" t="n"/>
    </row>
    <row r="10">
      <c r="A10" s="5" t="n">
        <v>7</v>
      </c>
      <c r="B10" s="6" t="n"/>
      <c r="C10" s="6" t="n"/>
      <c r="D10" s="6" t="n"/>
      <c r="E10" s="7" t="n"/>
      <c r="F10" s="7" t="n"/>
      <c r="G10" s="7" t="n"/>
      <c r="H10" s="8" t="n"/>
      <c r="I10" s="7" t="n"/>
    </row>
    <row r="11">
      <c r="A11" s="5" t="n">
        <v>8</v>
      </c>
      <c r="B11" s="6" t="n"/>
      <c r="C11" s="6" t="n"/>
      <c r="D11" s="6" t="n"/>
      <c r="E11" s="7" t="n"/>
      <c r="F11" s="7" t="n"/>
      <c r="G11" s="7" t="n"/>
      <c r="H11" s="8" t="n"/>
      <c r="I11" s="7" t="n"/>
    </row>
    <row r="12">
      <c r="A12" s="5" t="n">
        <v>9</v>
      </c>
      <c r="B12" s="6" t="n"/>
      <c r="C12" s="6" t="n"/>
      <c r="D12" s="6" t="n"/>
      <c r="E12" s="7" t="n"/>
      <c r="F12" s="7" t="n"/>
      <c r="G12" s="7" t="n"/>
      <c r="H12" s="8" t="n"/>
      <c r="I12" s="7" t="n"/>
    </row>
    <row r="13">
      <c r="A13" s="5" t="n">
        <v>10</v>
      </c>
      <c r="B13" s="6" t="n"/>
      <c r="C13" s="6" t="n"/>
      <c r="D13" s="6" t="n"/>
      <c r="E13" s="7" t="n"/>
      <c r="F13" s="7" t="n"/>
      <c r="G13" s="7" t="n"/>
      <c r="H13" s="8" t="n"/>
      <c r="I13" s="7" t="n"/>
    </row>
    <row r="14">
      <c r="A14" s="5" t="n">
        <v>11</v>
      </c>
      <c r="B14" s="6" t="n"/>
      <c r="C14" s="6" t="n"/>
      <c r="D14" s="6" t="n"/>
      <c r="E14" s="7" t="n"/>
      <c r="F14" s="7" t="n"/>
      <c r="G14" s="7" t="n"/>
      <c r="H14" s="8" t="n"/>
      <c r="I14" s="7" t="n"/>
    </row>
    <row r="15">
      <c r="A15" s="5" t="n">
        <v>12</v>
      </c>
      <c r="B15" s="6" t="n"/>
      <c r="C15" s="6" t="n"/>
      <c r="D15" s="6" t="n"/>
      <c r="E15" s="7" t="n"/>
      <c r="F15" s="7" t="n"/>
      <c r="G15" s="7" t="n"/>
      <c r="H15" s="8" t="n"/>
      <c r="I15" s="7" t="n"/>
    </row>
    <row r="16">
      <c r="A16" s="5" t="n">
        <v>13</v>
      </c>
      <c r="B16" s="6" t="n"/>
      <c r="C16" s="6" t="n"/>
      <c r="D16" s="6" t="n"/>
      <c r="E16" s="7" t="n"/>
      <c r="F16" s="7" t="n"/>
      <c r="G16" s="7" t="n"/>
      <c r="H16" s="8" t="n"/>
      <c r="I16" s="7" t="n"/>
    </row>
    <row r="17">
      <c r="A17" s="5" t="n">
        <v>14</v>
      </c>
      <c r="B17" s="6" t="n"/>
      <c r="C17" s="6" t="n"/>
      <c r="D17" s="6" t="n"/>
      <c r="E17" s="7" t="n"/>
      <c r="F17" s="7" t="n"/>
      <c r="G17" s="7" t="n"/>
      <c r="H17" s="8" t="n"/>
      <c r="I17" s="7" t="n"/>
    </row>
    <row r="18">
      <c r="A18" s="5" t="n">
        <v>15</v>
      </c>
      <c r="B18" s="6" t="n"/>
      <c r="C18" s="6" t="n"/>
      <c r="D18" s="6" t="n"/>
      <c r="E18" s="7" t="n"/>
      <c r="F18" s="7" t="n"/>
      <c r="G18" s="7" t="n"/>
      <c r="H18" s="8" t="n"/>
      <c r="I18" s="7" t="n"/>
    </row>
    <row r="19">
      <c r="A19" s="5" t="n">
        <v>16</v>
      </c>
      <c r="B19" s="6" t="n"/>
      <c r="C19" s="6" t="n"/>
      <c r="D19" s="6" t="n"/>
      <c r="E19" s="7" t="n"/>
      <c r="F19" s="7" t="n"/>
      <c r="G19" s="7" t="n"/>
      <c r="H19" s="8" t="n"/>
      <c r="I19" s="7" t="n"/>
    </row>
    <row r="20">
      <c r="A20" s="5" t="n">
        <v>17</v>
      </c>
      <c r="B20" s="6" t="n"/>
      <c r="C20" s="6" t="n"/>
      <c r="D20" s="6" t="n"/>
      <c r="E20" s="7" t="n"/>
      <c r="F20" s="7" t="n"/>
      <c r="G20" s="7" t="n"/>
      <c r="H20" s="8" t="n"/>
      <c r="I20" s="7" t="n"/>
    </row>
    <row r="21">
      <c r="A21" s="5" t="n">
        <v>18</v>
      </c>
      <c r="B21" s="6" t="n"/>
      <c r="C21" s="6" t="n"/>
      <c r="D21" s="6" t="n"/>
      <c r="E21" s="7" t="n"/>
      <c r="F21" s="7" t="n"/>
      <c r="G21" s="7" t="n"/>
      <c r="H21" s="8" t="n"/>
      <c r="I21" s="7" t="n"/>
    </row>
    <row r="22">
      <c r="A22" s="5" t="n">
        <v>19</v>
      </c>
      <c r="B22" s="6" t="n"/>
      <c r="C22" s="6" t="n"/>
      <c r="D22" s="6" t="n"/>
      <c r="E22" s="7" t="n"/>
      <c r="F22" s="7" t="n"/>
      <c r="G22" s="7" t="n"/>
      <c r="H22" s="8" t="n"/>
      <c r="I22" s="7" t="n"/>
    </row>
    <row r="23">
      <c r="A23" s="5" t="n">
        <v>20</v>
      </c>
      <c r="B23" s="6" t="n"/>
      <c r="C23" s="6" t="n"/>
      <c r="D23" s="6" t="n"/>
      <c r="E23" s="7" t="n"/>
      <c r="F23" s="7" t="n"/>
      <c r="G23" s="7" t="n"/>
      <c r="H23" s="8" t="n"/>
      <c r="I23" s="7" t="n"/>
    </row>
    <row r="24">
      <c r="A24" s="5" t="n">
        <v>21</v>
      </c>
      <c r="B24" s="6" t="n"/>
      <c r="C24" s="6" t="n"/>
      <c r="D24" s="6" t="n"/>
      <c r="E24" s="7" t="n"/>
      <c r="F24" s="7" t="n"/>
      <c r="G24" s="7" t="n"/>
      <c r="H24" s="8" t="n"/>
      <c r="I24" s="7" t="n"/>
    </row>
    <row r="25">
      <c r="A25" s="5" t="n">
        <v>22</v>
      </c>
      <c r="B25" s="6" t="n"/>
      <c r="C25" s="6" t="n"/>
      <c r="D25" s="6" t="n"/>
      <c r="E25" s="7" t="n"/>
      <c r="F25" s="7" t="n"/>
      <c r="G25" s="7" t="n"/>
      <c r="H25" s="8" t="n"/>
      <c r="I25" s="7" t="n"/>
    </row>
    <row r="26">
      <c r="A26" s="5" t="n">
        <v>23</v>
      </c>
      <c r="B26" s="6" t="n"/>
      <c r="C26" s="6" t="n"/>
      <c r="D26" s="6" t="n"/>
      <c r="E26" s="7" t="n"/>
      <c r="F26" s="7" t="n"/>
      <c r="G26" s="7" t="n"/>
      <c r="H26" s="8" t="n"/>
      <c r="I26" s="7" t="n"/>
    </row>
    <row r="27">
      <c r="A27" s="5" t="n">
        <v>24</v>
      </c>
      <c r="B27" s="6" t="n"/>
      <c r="C27" s="6" t="n"/>
      <c r="D27" s="6" t="n"/>
      <c r="E27" s="7" t="n"/>
      <c r="F27" s="7" t="n"/>
      <c r="G27" s="7" t="n"/>
      <c r="H27" s="8" t="n"/>
      <c r="I27" s="7" t="n"/>
    </row>
    <row r="28">
      <c r="A28" s="5" t="n">
        <v>25</v>
      </c>
      <c r="B28" s="6" t="n"/>
      <c r="C28" s="6" t="n"/>
      <c r="D28" s="6" t="n"/>
      <c r="E28" s="7" t="n"/>
      <c r="F28" s="7" t="n"/>
      <c r="G28" s="7" t="n"/>
      <c r="H28" s="8" t="n"/>
      <c r="I28" s="7" t="n"/>
    </row>
  </sheetData>
  <autoFilter ref="A3:I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</cols>
  <sheetData>
    <row r="1" ht="24" customHeight="1">
      <c r="A1" s="1" t="inlineStr">
        <is>
          <t>INPUT STATUS KEGIATAN PER MAHASISWA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Pilih status tiap kegiatan lewat dropdown (sel kosong = Belum Mulai). Nama &amp; NIM terisi otomatis dari Data Mahasiswa.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B3" s="9" t="inlineStr">
        <is>
          <t>Tahap</t>
        </is>
      </c>
      <c r="D3" s="10" t="inlineStr">
        <is>
          <t>A. Persiapan &amp; Proposal</t>
        </is>
      </c>
      <c r="E3" s="11" t="n"/>
      <c r="F3" s="11" t="n"/>
      <c r="G3" s="11" t="n"/>
      <c r="H3" s="11" t="n"/>
      <c r="I3" s="11" t="n"/>
      <c r="J3" s="11" t="n"/>
      <c r="K3" s="10" t="inlineStr">
        <is>
          <t>B. Pelaksanaan Penelitian</t>
        </is>
      </c>
      <c r="L3" s="11" t="n"/>
      <c r="M3" s="11" t="n"/>
      <c r="N3" s="11" t="n"/>
      <c r="O3" s="10" t="inlineStr">
        <is>
          <t>C. Penulisan &amp; Bimbingan Naskah</t>
        </is>
      </c>
      <c r="P3" s="11" t="n"/>
      <c r="Q3" s="11" t="n"/>
      <c r="R3" s="11" t="n"/>
      <c r="S3" s="11" t="n"/>
      <c r="T3" s="11" t="n"/>
      <c r="U3" s="10" t="inlineStr">
        <is>
          <t>D. Sidang Sarjana</t>
        </is>
      </c>
      <c r="V3" s="11" t="n"/>
      <c r="W3" s="11" t="n"/>
      <c r="X3" s="11" t="n"/>
      <c r="Y3" s="11" t="n"/>
      <c r="Z3" s="11" t="n"/>
    </row>
    <row r="4">
      <c r="B4" s="9" t="inlineStr">
        <is>
          <t>Kode</t>
        </is>
      </c>
      <c r="D4" s="12" t="inlineStr">
        <is>
          <t>A1</t>
        </is>
      </c>
      <c r="E4" s="12" t="inlineStr">
        <is>
          <t>A2</t>
        </is>
      </c>
      <c r="F4" s="12" t="inlineStr">
        <is>
          <t>A3</t>
        </is>
      </c>
      <c r="G4" s="12" t="inlineStr">
        <is>
          <t>A4</t>
        </is>
      </c>
      <c r="H4" s="12" t="inlineStr">
        <is>
          <t>A5</t>
        </is>
      </c>
      <c r="I4" s="12" t="inlineStr">
        <is>
          <t>A6</t>
        </is>
      </c>
      <c r="J4" s="12" t="inlineStr">
        <is>
          <t>A7</t>
        </is>
      </c>
      <c r="K4" s="12" t="inlineStr">
        <is>
          <t>B1</t>
        </is>
      </c>
      <c r="L4" s="12" t="inlineStr">
        <is>
          <t>B2</t>
        </is>
      </c>
      <c r="M4" s="12" t="inlineStr">
        <is>
          <t>B3</t>
        </is>
      </c>
      <c r="N4" s="12" t="inlineStr">
        <is>
          <t>B4</t>
        </is>
      </c>
      <c r="O4" s="12" t="inlineStr">
        <is>
          <t>C1</t>
        </is>
      </c>
      <c r="P4" s="12" t="inlineStr">
        <is>
          <t>C2</t>
        </is>
      </c>
      <c r="Q4" s="12" t="inlineStr">
        <is>
          <t>C3</t>
        </is>
      </c>
      <c r="R4" s="12" t="inlineStr">
        <is>
          <t>C4</t>
        </is>
      </c>
      <c r="S4" s="12" t="inlineStr">
        <is>
          <t>C5</t>
        </is>
      </c>
      <c r="T4" s="12" t="inlineStr">
        <is>
          <t>C6</t>
        </is>
      </c>
      <c r="U4" s="12" t="inlineStr">
        <is>
          <t>D1</t>
        </is>
      </c>
      <c r="V4" s="12" t="inlineStr">
        <is>
          <t>D2</t>
        </is>
      </c>
      <c r="W4" s="12" t="inlineStr">
        <is>
          <t>D3</t>
        </is>
      </c>
      <c r="X4" s="12" t="inlineStr">
        <is>
          <t>D4</t>
        </is>
      </c>
      <c r="Y4" s="12" t="inlineStr">
        <is>
          <t>D5</t>
        </is>
      </c>
      <c r="Z4" s="12" t="inlineStr">
        <is>
          <t>D6</t>
        </is>
      </c>
    </row>
    <row r="5">
      <c r="B5" s="9" t="inlineStr">
        <is>
          <t>Mulai (minggu ke-)</t>
        </is>
      </c>
      <c r="D5" s="13" t="n">
        <v>1</v>
      </c>
      <c r="E5" s="13" t="n">
        <v>2</v>
      </c>
      <c r="F5" s="13" t="n">
        <v>4</v>
      </c>
      <c r="G5" s="13" t="n">
        <v>7</v>
      </c>
      <c r="H5" s="13" t="n">
        <v>9</v>
      </c>
      <c r="I5" s="13" t="n">
        <v>10</v>
      </c>
      <c r="J5" s="13" t="n">
        <v>11</v>
      </c>
      <c r="K5" s="13" t="n">
        <v>11</v>
      </c>
      <c r="L5" s="13" t="n">
        <v>13</v>
      </c>
      <c r="M5" s="13" t="n">
        <v>17</v>
      </c>
      <c r="N5" s="13" t="n">
        <v>19</v>
      </c>
      <c r="O5" s="13" t="n">
        <v>20</v>
      </c>
      <c r="P5" s="13" t="n">
        <v>23</v>
      </c>
      <c r="Q5" s="13" t="n">
        <v>23</v>
      </c>
      <c r="R5" s="13" t="n">
        <v>26</v>
      </c>
      <c r="S5" s="13" t="n">
        <v>27</v>
      </c>
      <c r="T5" s="13" t="n">
        <v>28</v>
      </c>
      <c r="U5" s="13" t="n">
        <v>28</v>
      </c>
      <c r="V5" s="13" t="n">
        <v>30</v>
      </c>
      <c r="W5" s="13" t="n">
        <v>31</v>
      </c>
      <c r="X5" s="13" t="n">
        <v>32</v>
      </c>
      <c r="Y5" s="13" t="n">
        <v>33</v>
      </c>
      <c r="Z5" s="13" t="n">
        <v>35</v>
      </c>
    </row>
    <row r="6">
      <c r="B6" s="9" t="inlineStr">
        <is>
          <t>Durasi (minggu)</t>
        </is>
      </c>
      <c r="D6" s="13" t="n">
        <v>1</v>
      </c>
      <c r="E6" s="13" t="n">
        <v>2</v>
      </c>
      <c r="F6" s="13" t="n">
        <v>4</v>
      </c>
      <c r="G6" s="13" t="n">
        <v>2</v>
      </c>
      <c r="H6" s="13" t="n">
        <v>1</v>
      </c>
      <c r="I6" s="13" t="n">
        <v>1</v>
      </c>
      <c r="J6" s="13" t="n">
        <v>2</v>
      </c>
      <c r="K6" s="13" t="n">
        <v>2</v>
      </c>
      <c r="L6" s="13" t="n">
        <v>6</v>
      </c>
      <c r="M6" s="13" t="n">
        <v>4</v>
      </c>
      <c r="N6" s="13" t="n">
        <v>2</v>
      </c>
      <c r="O6" s="13" t="n">
        <v>3</v>
      </c>
      <c r="P6" s="13" t="n">
        <v>2</v>
      </c>
      <c r="Q6" s="13" t="n">
        <v>4</v>
      </c>
      <c r="R6" s="13" t="n">
        <v>1</v>
      </c>
      <c r="S6" s="13" t="n">
        <v>1</v>
      </c>
      <c r="T6" s="13" t="n">
        <v>1</v>
      </c>
      <c r="U6" s="13" t="n">
        <v>2</v>
      </c>
      <c r="V6" s="13" t="n">
        <v>1</v>
      </c>
      <c r="W6" s="13" t="n">
        <v>1</v>
      </c>
      <c r="X6" s="13" t="n">
        <v>1</v>
      </c>
      <c r="Y6" s="13" t="n">
        <v>2</v>
      </c>
      <c r="Z6" s="13" t="n">
        <v>2</v>
      </c>
    </row>
    <row r="7">
      <c r="B7" s="9" t="inlineStr">
        <is>
          <t>Bobot kegiatan</t>
        </is>
      </c>
      <c r="D7" s="13" t="n">
        <v>1</v>
      </c>
      <c r="E7" s="13" t="n">
        <v>2</v>
      </c>
      <c r="F7" s="13" t="n">
        <v>4</v>
      </c>
      <c r="G7" s="13" t="n">
        <v>2</v>
      </c>
      <c r="H7" s="13" t="n">
        <v>1</v>
      </c>
      <c r="I7" s="13" t="n">
        <v>1</v>
      </c>
      <c r="J7" s="13" t="n">
        <v>2</v>
      </c>
      <c r="K7" s="13" t="n">
        <v>2</v>
      </c>
      <c r="L7" s="13" t="n">
        <v>6</v>
      </c>
      <c r="M7" s="13" t="n">
        <v>4</v>
      </c>
      <c r="N7" s="13" t="n">
        <v>2</v>
      </c>
      <c r="O7" s="13" t="n">
        <v>3</v>
      </c>
      <c r="P7" s="13" t="n">
        <v>2</v>
      </c>
      <c r="Q7" s="13" t="n">
        <v>4</v>
      </c>
      <c r="R7" s="13" t="n">
        <v>1</v>
      </c>
      <c r="S7" s="13" t="n">
        <v>1</v>
      </c>
      <c r="T7" s="13" t="n">
        <v>1</v>
      </c>
      <c r="U7" s="13" t="n">
        <v>2</v>
      </c>
      <c r="V7" s="13" t="n">
        <v>1</v>
      </c>
      <c r="W7" s="13" t="n">
        <v>1</v>
      </c>
      <c r="X7" s="13" t="n">
        <v>1</v>
      </c>
      <c r="Y7" s="13" t="n">
        <v>2</v>
      </c>
      <c r="Z7" s="13" t="n">
        <v>2</v>
      </c>
    </row>
    <row r="8" ht="58" customHeight="1">
      <c r="A8" s="4" t="inlineStr">
        <is>
          <t>No</t>
        </is>
      </c>
      <c r="B8" s="4" t="inlineStr">
        <is>
          <t>Nama Mahasiswa</t>
        </is>
      </c>
      <c r="C8" s="4" t="inlineStr">
        <is>
          <t>NIM</t>
        </is>
      </c>
      <c r="D8" s="4" t="inlineStr">
        <is>
          <t>Menerima SK &amp; konsultasi awal</t>
        </is>
      </c>
      <c r="E8" s="4" t="inlineStr">
        <is>
          <t>Penentuan topik &amp; studi pendahuluan</t>
        </is>
      </c>
      <c r="F8" s="4" t="inlineStr">
        <is>
          <t>Penyusunan proposal (Bab 1-3)</t>
        </is>
      </c>
      <c r="G8" s="4" t="inlineStr">
        <is>
          <t>Bimbingan proposal sampai ACC</t>
        </is>
      </c>
      <c r="H8" s="4" t="inlineStr">
        <is>
          <t>Pendaftaran seminar proposal</t>
        </is>
      </c>
      <c r="I8" s="4" t="inlineStr">
        <is>
          <t>Seminar proposal</t>
        </is>
      </c>
      <c r="J8" s="4" t="inlineStr">
        <is>
          <t>Revisi proposal pasca seminar</t>
        </is>
      </c>
      <c r="K8" s="4" t="inlineStr">
        <is>
          <t>Izin penelitian/etik &amp; persiapan alat-bahan</t>
        </is>
      </c>
      <c r="L8" s="4" t="inlineStr">
        <is>
          <t>Pengumpulan data / pelaksanaan penelitian</t>
        </is>
      </c>
      <c r="M8" s="4" t="inlineStr">
        <is>
          <t>Pengolahan &amp; analisis data</t>
        </is>
      </c>
      <c r="N8" s="4" t="inlineStr">
        <is>
          <t>Bimbingan progres hasil penelitian</t>
        </is>
      </c>
      <c r="O8" s="4" t="inlineStr">
        <is>
          <t>Penulisan Bab 4 (Hasil &amp; Pembahasan)</t>
        </is>
      </c>
      <c r="P8" s="4" t="inlineStr">
        <is>
          <t>Penulisan Bab 5, abstrak &amp; daftar pustaka</t>
        </is>
      </c>
      <c r="Q8" s="4" t="inlineStr">
        <is>
          <t>Bimbingan naskah lengkap</t>
        </is>
      </c>
      <c r="R8" s="4" t="inlineStr">
        <is>
          <t>Seminar hasil (jika disyaratkan)</t>
        </is>
      </c>
      <c r="S8" s="4" t="inlineStr">
        <is>
          <t>Cek similarity/plagiarisme</t>
        </is>
      </c>
      <c r="T8" s="4" t="inlineStr">
        <is>
          <t>ACC pembimbing untuk maju sidang</t>
        </is>
      </c>
      <c r="U8" s="4" t="inlineStr">
        <is>
          <t>Melengkapi berkas pendaftaran sidang</t>
        </is>
      </c>
      <c r="V8" s="4" t="inlineStr">
        <is>
          <t>Pendaftaran sidang &amp; penetapan jadwal/penguji</t>
        </is>
      </c>
      <c r="W8" s="4" t="inlineStr">
        <is>
          <t>Pengiriman naskah ke penguji</t>
        </is>
      </c>
      <c r="X8" s="4" t="inlineStr">
        <is>
          <t>SIDANG SARJANA</t>
        </is>
      </c>
      <c r="Y8" s="4" t="inlineStr">
        <is>
          <t>Revisi pasca sidang</t>
        </is>
      </c>
      <c r="Z8" s="4" t="inlineStr">
        <is>
          <t>Pengesahan, penjilidan &amp; pengumpulan naskah akhir</t>
        </is>
      </c>
    </row>
    <row r="9">
      <c r="A9" s="14">
        <f>'Data Mahasiswa'!A4</f>
        <v/>
      </c>
      <c r="B9" s="14">
        <f>IF('Data Mahasiswa'!B4="","",'Data Mahasiswa'!B4)</f>
        <v/>
      </c>
      <c r="C9" s="14">
        <f>IF('Data Mahasiswa'!C4="","",'Data Mahasiswa'!C4)</f>
        <v/>
      </c>
      <c r="D9" s="15" t="inlineStr">
        <is>
          <t>Menunggu Review</t>
        </is>
      </c>
      <c r="E9" s="15" t="inlineStr">
        <is>
          <t>Selesai</t>
        </is>
      </c>
      <c r="F9" s="15" t="inlineStr">
        <is>
          <t>Sedang Dikerjakan</t>
        </is>
      </c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>
      <c r="A10" s="14">
        <f>'Data Mahasiswa'!A5</f>
        <v/>
      </c>
      <c r="B10" s="14">
        <f>IF('Data Mahasiswa'!B5="","",'Data Mahasiswa'!B5)</f>
        <v/>
      </c>
      <c r="C10" s="14">
        <f>IF('Data Mahasiswa'!C5="","",'Data Mahasiswa'!C5)</f>
        <v/>
      </c>
      <c r="D10" s="15" t="inlineStr">
        <is>
          <t>Menunggu Review</t>
        </is>
      </c>
      <c r="E10" s="15" t="inlineStr">
        <is>
          <t>Selesai</t>
        </is>
      </c>
      <c r="F10" s="15" t="inlineStr">
        <is>
          <t>Sedang Dikerjakan</t>
        </is>
      </c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>
      <c r="A11" s="14">
        <f>'Data Mahasiswa'!A6</f>
        <v/>
      </c>
      <c r="B11" s="14">
        <f>IF('Data Mahasiswa'!B6="","",'Data Mahasiswa'!B6)</f>
        <v/>
      </c>
      <c r="C11" s="14">
        <f>IF('Data Mahasiswa'!C6="","",'Data Mahasiswa'!C6)</f>
        <v/>
      </c>
      <c r="D11" s="15" t="inlineStr">
        <is>
          <t>Selesai</t>
        </is>
      </c>
      <c r="E11" s="15" t="inlineStr">
        <is>
          <t>Selesai</t>
        </is>
      </c>
      <c r="F11" s="15" t="inlineStr">
        <is>
          <t>Menunggu Review</t>
        </is>
      </c>
      <c r="G11" s="15" t="n"/>
      <c r="H11" s="15" t="n"/>
      <c r="I11" s="15" t="n"/>
      <c r="J11" s="15" t="n"/>
      <c r="K11" s="15" t="inlineStr">
        <is>
          <t>Selesai</t>
        </is>
      </c>
      <c r="L11" s="15" t="inlineStr">
        <is>
          <t>Selesai</t>
        </is>
      </c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>
      <c r="A12" s="14">
        <f>'Data Mahasiswa'!A7</f>
        <v/>
      </c>
      <c r="B12" s="14">
        <f>IF('Data Mahasiswa'!B7="","",'Data Mahasiswa'!B7)</f>
        <v/>
      </c>
      <c r="C12" s="14">
        <f>IF('Data Mahasiswa'!C7="","",'Data Mahasiswa'!C7)</f>
        <v/>
      </c>
      <c r="D12" s="15" t="inlineStr">
        <is>
          <t>Selesai</t>
        </is>
      </c>
      <c r="E12" s="15" t="inlineStr">
        <is>
          <t>Selesai</t>
        </is>
      </c>
      <c r="F12" s="15" t="inlineStr">
        <is>
          <t>Selesai</t>
        </is>
      </c>
      <c r="G12" s="15" t="inlineStr">
        <is>
          <t>Selesai</t>
        </is>
      </c>
      <c r="H12" s="15" t="inlineStr">
        <is>
          <t>Selesai</t>
        </is>
      </c>
      <c r="I12" s="15" t="inlineStr">
        <is>
          <t>Selesai</t>
        </is>
      </c>
      <c r="J12" s="15" t="inlineStr">
        <is>
          <t>Selesai</t>
        </is>
      </c>
      <c r="K12" s="15" t="inlineStr">
        <is>
          <t>Selesai</t>
        </is>
      </c>
      <c r="L12" s="15" t="inlineStr">
        <is>
          <t>Selesai</t>
        </is>
      </c>
      <c r="M12" s="15" t="inlineStr">
        <is>
          <t>Selesai</t>
        </is>
      </c>
      <c r="N12" s="15" t="inlineStr">
        <is>
          <t>Selesai</t>
        </is>
      </c>
      <c r="O12" s="15" t="inlineStr">
        <is>
          <t>Selesai</t>
        </is>
      </c>
      <c r="P12" s="15" t="inlineStr">
        <is>
          <t>Selesai</t>
        </is>
      </c>
      <c r="Q12" s="15" t="inlineStr">
        <is>
          <t>Selesai</t>
        </is>
      </c>
      <c r="R12" s="15" t="inlineStr">
        <is>
          <t>Selesai</t>
        </is>
      </c>
      <c r="S12" s="15" t="inlineStr">
        <is>
          <t>Selesai</t>
        </is>
      </c>
      <c r="T12" s="15" t="inlineStr">
        <is>
          <t>Selesai</t>
        </is>
      </c>
      <c r="U12" s="15" t="inlineStr">
        <is>
          <t>Selesai</t>
        </is>
      </c>
      <c r="V12" s="15" t="inlineStr">
        <is>
          <t>Selesai</t>
        </is>
      </c>
      <c r="W12" s="15" t="inlineStr">
        <is>
          <t>Selesai</t>
        </is>
      </c>
      <c r="X12" s="15" t="inlineStr">
        <is>
          <t>Selesai</t>
        </is>
      </c>
      <c r="Y12" s="15" t="inlineStr">
        <is>
          <t>Sedang Dikerjakan</t>
        </is>
      </c>
      <c r="Z12" s="15" t="n"/>
    </row>
    <row r="13">
      <c r="A13" s="14">
        <f>'Data Mahasiswa'!A8</f>
        <v/>
      </c>
      <c r="B13" s="14">
        <f>IF('Data Mahasiswa'!B8="","",'Data Mahasiswa'!B8)</f>
        <v/>
      </c>
      <c r="C13" s="14">
        <f>IF('Data Mahasiswa'!C8="","",'Data Mahasiswa'!C8)</f>
        <v/>
      </c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>
      <c r="A14" s="14">
        <f>'Data Mahasiswa'!A9</f>
        <v/>
      </c>
      <c r="B14" s="14">
        <f>IF('Data Mahasiswa'!B9="","",'Data Mahasiswa'!B9)</f>
        <v/>
      </c>
      <c r="C14" s="14">
        <f>IF('Data Mahasiswa'!C9="","",'Data Mahasiswa'!C9)</f>
        <v/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>
      <c r="A15" s="14">
        <f>'Data Mahasiswa'!A10</f>
        <v/>
      </c>
      <c r="B15" s="14">
        <f>IF('Data Mahasiswa'!B10="","",'Data Mahasiswa'!B10)</f>
        <v/>
      </c>
      <c r="C15" s="14">
        <f>IF('Data Mahasiswa'!C10="","",'Data Mahasiswa'!C10)</f>
        <v/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>
      <c r="A16" s="14">
        <f>'Data Mahasiswa'!A11</f>
        <v/>
      </c>
      <c r="B16" s="14">
        <f>IF('Data Mahasiswa'!B11="","",'Data Mahasiswa'!B11)</f>
        <v/>
      </c>
      <c r="C16" s="14">
        <f>IF('Data Mahasiswa'!C11="","",'Data Mahasiswa'!C11)</f>
        <v/>
      </c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>
      <c r="A17" s="14">
        <f>'Data Mahasiswa'!A12</f>
        <v/>
      </c>
      <c r="B17" s="14">
        <f>IF('Data Mahasiswa'!B12="","",'Data Mahasiswa'!B12)</f>
        <v/>
      </c>
      <c r="C17" s="14">
        <f>IF('Data Mahasiswa'!C12="","",'Data Mahasiswa'!C12)</f>
        <v/>
      </c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</row>
    <row r="18">
      <c r="A18" s="14">
        <f>'Data Mahasiswa'!A13</f>
        <v/>
      </c>
      <c r="B18" s="14">
        <f>IF('Data Mahasiswa'!B13="","",'Data Mahasiswa'!B13)</f>
        <v/>
      </c>
      <c r="C18" s="14">
        <f>IF('Data Mahasiswa'!C13="","",'Data Mahasiswa'!C13)</f>
        <v/>
      </c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</row>
    <row r="19">
      <c r="A19" s="14">
        <f>'Data Mahasiswa'!A14</f>
        <v/>
      </c>
      <c r="B19" s="14">
        <f>IF('Data Mahasiswa'!B14="","",'Data Mahasiswa'!B14)</f>
        <v/>
      </c>
      <c r="C19" s="14">
        <f>IF('Data Mahasiswa'!C14="","",'Data Mahasiswa'!C14)</f>
        <v/>
      </c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</row>
    <row r="20">
      <c r="A20" s="14">
        <f>'Data Mahasiswa'!A15</f>
        <v/>
      </c>
      <c r="B20" s="14">
        <f>IF('Data Mahasiswa'!B15="","",'Data Mahasiswa'!B15)</f>
        <v/>
      </c>
      <c r="C20" s="14">
        <f>IF('Data Mahasiswa'!C15="","",'Data Mahasiswa'!C15)</f>
        <v/>
      </c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</row>
    <row r="21">
      <c r="A21" s="14">
        <f>'Data Mahasiswa'!A16</f>
        <v/>
      </c>
      <c r="B21" s="14">
        <f>IF('Data Mahasiswa'!B16="","",'Data Mahasiswa'!B16)</f>
        <v/>
      </c>
      <c r="C21" s="14">
        <f>IF('Data Mahasiswa'!C16="","",'Data Mahasiswa'!C16)</f>
        <v/>
      </c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>
      <c r="A22" s="14">
        <f>'Data Mahasiswa'!A17</f>
        <v/>
      </c>
      <c r="B22" s="14">
        <f>IF('Data Mahasiswa'!B17="","",'Data Mahasiswa'!B17)</f>
        <v/>
      </c>
      <c r="C22" s="14">
        <f>IF('Data Mahasiswa'!C17="","",'Data Mahasiswa'!C17)</f>
        <v/>
      </c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</row>
    <row r="23">
      <c r="A23" s="14">
        <f>'Data Mahasiswa'!A18</f>
        <v/>
      </c>
      <c r="B23" s="14">
        <f>IF('Data Mahasiswa'!B18="","",'Data Mahasiswa'!B18)</f>
        <v/>
      </c>
      <c r="C23" s="14">
        <f>IF('Data Mahasiswa'!C18="","",'Data Mahasiswa'!C18)</f>
        <v/>
      </c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</row>
    <row r="24">
      <c r="A24" s="14">
        <f>'Data Mahasiswa'!A19</f>
        <v/>
      </c>
      <c r="B24" s="14">
        <f>IF('Data Mahasiswa'!B19="","",'Data Mahasiswa'!B19)</f>
        <v/>
      </c>
      <c r="C24" s="14">
        <f>IF('Data Mahasiswa'!C19="","",'Data Mahasiswa'!C19)</f>
        <v/>
      </c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</row>
    <row r="25">
      <c r="A25" s="14">
        <f>'Data Mahasiswa'!A20</f>
        <v/>
      </c>
      <c r="B25" s="14">
        <f>IF('Data Mahasiswa'!B20="","",'Data Mahasiswa'!B20)</f>
        <v/>
      </c>
      <c r="C25" s="14">
        <f>IF('Data Mahasiswa'!C20="","",'Data Mahasiswa'!C20)</f>
        <v/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</row>
    <row r="26">
      <c r="A26" s="14">
        <f>'Data Mahasiswa'!A21</f>
        <v/>
      </c>
      <c r="B26" s="14">
        <f>IF('Data Mahasiswa'!B21="","",'Data Mahasiswa'!B21)</f>
        <v/>
      </c>
      <c r="C26" s="14">
        <f>IF('Data Mahasiswa'!C21="","",'Data Mahasiswa'!C21)</f>
        <v/>
      </c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</row>
    <row r="27">
      <c r="A27" s="14">
        <f>'Data Mahasiswa'!A22</f>
        <v/>
      </c>
      <c r="B27" s="14">
        <f>IF('Data Mahasiswa'!B22="","",'Data Mahasiswa'!B22)</f>
        <v/>
      </c>
      <c r="C27" s="14">
        <f>IF('Data Mahasiswa'!C22="","",'Data Mahasiswa'!C22)</f>
        <v/>
      </c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</row>
    <row r="28">
      <c r="A28" s="14">
        <f>'Data Mahasiswa'!A23</f>
        <v/>
      </c>
      <c r="B28" s="14">
        <f>IF('Data Mahasiswa'!B23="","",'Data Mahasiswa'!B23)</f>
        <v/>
      </c>
      <c r="C28" s="14">
        <f>IF('Data Mahasiswa'!C23="","",'Data Mahasiswa'!C23)</f>
        <v/>
      </c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</row>
    <row r="29">
      <c r="A29" s="14">
        <f>'Data Mahasiswa'!A24</f>
        <v/>
      </c>
      <c r="B29" s="14">
        <f>IF('Data Mahasiswa'!B24="","",'Data Mahasiswa'!B24)</f>
        <v/>
      </c>
      <c r="C29" s="14">
        <f>IF('Data Mahasiswa'!C24="","",'Data Mahasiswa'!C24)</f>
        <v/>
      </c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</row>
    <row r="30">
      <c r="A30" s="14">
        <f>'Data Mahasiswa'!A25</f>
        <v/>
      </c>
      <c r="B30" s="14">
        <f>IF('Data Mahasiswa'!B25="","",'Data Mahasiswa'!B25)</f>
        <v/>
      </c>
      <c r="C30" s="14">
        <f>IF('Data Mahasiswa'!C25="","",'Data Mahasiswa'!C25)</f>
        <v/>
      </c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</row>
    <row r="31">
      <c r="A31" s="14">
        <f>'Data Mahasiswa'!A26</f>
        <v/>
      </c>
      <c r="B31" s="14">
        <f>IF('Data Mahasiswa'!B26="","",'Data Mahasiswa'!B26)</f>
        <v/>
      </c>
      <c r="C31" s="14">
        <f>IF('Data Mahasiswa'!C26="","",'Data Mahasiswa'!C26)</f>
        <v/>
      </c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</row>
    <row r="32">
      <c r="A32" s="14">
        <f>'Data Mahasiswa'!A27</f>
        <v/>
      </c>
      <c r="B32" s="14">
        <f>IF('Data Mahasiswa'!B27="","",'Data Mahasiswa'!B27)</f>
        <v/>
      </c>
      <c r="C32" s="14">
        <f>IF('Data Mahasiswa'!C27="","",'Data Mahasiswa'!C27)</f>
        <v/>
      </c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</row>
    <row r="33">
      <c r="A33" s="14">
        <f>'Data Mahasiswa'!A28</f>
        <v/>
      </c>
      <c r="B33" s="14">
        <f>IF('Data Mahasiswa'!B28="","",'Data Mahasiswa'!B28)</f>
        <v/>
      </c>
      <c r="C33" s="14">
        <f>IF('Data Mahasiswa'!C28="","",'Data Mahasiswa'!C28)</f>
        <v/>
      </c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</row>
  </sheetData>
  <conditionalFormatting sqref="D9:Z33">
    <cfRule type="cellIs" priority="1" operator="equal" dxfId="0">
      <formula>"Selesai"</formula>
    </cfRule>
    <cfRule type="cellIs" priority="2" operator="equal" dxfId="1">
      <formula>"Menunggu Review"</formula>
    </cfRule>
    <cfRule type="cellIs" priority="3" operator="equal" dxfId="2">
      <formula>"Sedang Dikerjakan"</formula>
    </cfRule>
    <cfRule type="cellIs" priority="4" operator="equal" dxfId="3">
      <formula>"Terhambat"</formula>
    </cfRule>
  </conditionalFormatting>
  <dataValidations count="1">
    <dataValidation sqref="D9:Z33" showDropDown="0" showInputMessage="0" showErrorMessage="0" allowBlank="1" type="list">
      <formula1>"Belum Mulai,Sedang Dikerjakan,Menunggu Review,Terhambat,Selesai"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2" customWidth="1" min="12" max="12"/>
    <col width="24" customWidth="1" min="13" max="13"/>
    <col width="13" customWidth="1" min="14" max="14"/>
    <col width="13" customWidth="1" min="15" max="15"/>
    <col width="13" customWidth="1" min="16" max="16"/>
    <col width="10" customWidth="1" min="17" max="17"/>
    <col width="16" customWidth="1" min="18" max="18"/>
    <col width="34" customWidth="1" min="19" max="19"/>
  </cols>
  <sheetData>
    <row r="1" ht="24" customHeight="1">
      <c r="A1" s="1" t="inlineStr">
        <is>
          <t>LAPORAN PROGRES SKRIPSI - SEMUA MAHASISWA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3" t="inlineStr">
        <is>
          <t>Otomatis dari Data Mahasiswa &amp; Input Status. Persentase = rata-rata tertimbang bobot kegiatan (lihat Petunjuk).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4">
      <c r="B4" s="16" t="inlineStr">
        <is>
          <t>Total Mahasiswa</t>
        </is>
      </c>
      <c r="C4" s="16" t="inlineStr">
        <is>
          <t>Rata-rata Progres</t>
        </is>
      </c>
      <c r="D4" s="16" t="inlineStr">
        <is>
          <t>Per Tanggal</t>
        </is>
      </c>
      <c r="E4" s="16" t="inlineStr">
        <is>
          <t>Selesai</t>
        </is>
      </c>
      <c r="F4" s="16" t="inlineStr">
        <is>
          <t>Sesuai Jalur</t>
        </is>
      </c>
      <c r="G4" s="16" t="inlineStr">
        <is>
          <t>Perlu Perhatian</t>
        </is>
      </c>
      <c r="H4" s="16" t="inlineStr">
        <is>
          <t>Tertinggal</t>
        </is>
      </c>
      <c r="I4" s="16" t="inlineStr">
        <is>
          <t>Sidang dalam 60 hari</t>
        </is>
      </c>
    </row>
    <row r="5" ht="26" customHeight="1">
      <c r="B5" s="17">
        <f>COUNTIF($B$8:$B$32,"?*")</f>
        <v/>
      </c>
      <c r="C5" s="18">
        <f>IFERROR(SUMIF($B$8:$B$32,"?*",$F$8:$F$32)/COUNTIF($B$8:$B$32,"?*"),0)</f>
        <v/>
      </c>
      <c r="D5" s="19">
        <f>TODAY()</f>
        <v/>
      </c>
      <c r="E5" s="17">
        <f>COUNTIF($R$8:$R$32,"Selesai")</f>
        <v/>
      </c>
      <c r="F5" s="17">
        <f>COUNTIF($R$8:$R$32,"Sesuai Jalur")</f>
        <v/>
      </c>
      <c r="G5" s="17">
        <f>COUNTIF($R$8:$R$32,"Perlu Perhatian")</f>
        <v/>
      </c>
      <c r="H5" s="17">
        <f>COUNTIF($R$8:$R$32,"Tertinggal")</f>
        <v/>
      </c>
      <c r="I5" s="17">
        <f>COUNTIFS($Q$8:$Q$32,"&gt;=0",$Q$8:$Q$32,"&lt;="&amp;Pengaturan!$B$16)</f>
        <v/>
      </c>
    </row>
    <row r="7" ht="44" customHeight="1">
      <c r="A7" s="4" t="inlineStr">
        <is>
          <t>No</t>
        </is>
      </c>
      <c r="B7" s="4" t="inlineStr">
        <is>
          <t>Nama Mahasiswa</t>
        </is>
      </c>
      <c r="C7" s="4" t="inlineStr">
        <is>
          <t>NIM</t>
        </is>
      </c>
      <c r="D7" s="4" t="inlineStr">
        <is>
          <t>Pembimbing 1</t>
        </is>
      </c>
      <c r="E7" s="4" t="inlineStr">
        <is>
          <t>Tanggal SK</t>
        </is>
      </c>
      <c r="F7" s="4" t="inlineStr">
        <is>
          <t>Progres Keseluruhan</t>
        </is>
      </c>
      <c r="G7" s="4" t="inlineStr">
        <is>
          <t>A. Persiapan &amp; Proposal</t>
        </is>
      </c>
      <c r="H7" s="4" t="inlineStr">
        <is>
          <t>B. Pelaksanaan Penelitian</t>
        </is>
      </c>
      <c r="I7" s="4" t="inlineStr">
        <is>
          <t>C. Penulisan Naskah</t>
        </is>
      </c>
      <c r="J7" s="4" t="inlineStr">
        <is>
          <t>D. Sidang Sarjana</t>
        </is>
      </c>
      <c r="K7" s="4" t="inlineStr">
        <is>
          <t>Progres Seharusnya (jadwal)</t>
        </is>
      </c>
      <c r="L7" s="4" t="inlineStr">
        <is>
          <t>Selisih (poin)</t>
        </is>
      </c>
      <c r="M7" s="4" t="inlineStr">
        <is>
          <t>Tahap Saat Ini</t>
        </is>
      </c>
      <c r="N7" s="4" t="inlineStr">
        <is>
          <t>Kegiatan Selesai</t>
        </is>
      </c>
      <c r="O7" s="4" t="inlineStr">
        <is>
          <t>Kegiatan Terhambat</t>
        </is>
      </c>
      <c r="P7" s="4" t="inlineStr">
        <is>
          <t>Target Sidang</t>
        </is>
      </c>
      <c r="Q7" s="4" t="inlineStr">
        <is>
          <t>Sisa Hari</t>
        </is>
      </c>
      <c r="R7" s="4" t="inlineStr">
        <is>
          <t>Status</t>
        </is>
      </c>
      <c r="S7" s="4" t="inlineStr">
        <is>
          <t>Peringatan</t>
        </is>
      </c>
    </row>
    <row r="8">
      <c r="A8" s="20">
        <f>'Data Mahasiswa'!A4</f>
        <v/>
      </c>
      <c r="B8" s="21">
        <f>IF('Data Mahasiswa'!B4="","",'Data Mahasiswa'!B4)</f>
        <v/>
      </c>
      <c r="C8" s="21">
        <f>IF($B8="","",'Data Mahasiswa'!C4)</f>
        <v/>
      </c>
      <c r="D8" s="22">
        <f>IF($B8="","",'Data Mahasiswa'!F4)</f>
        <v/>
      </c>
      <c r="E8" s="23">
        <f>IF($B8="","",IF('Data Mahasiswa'!H4="","",'Data Mahasiswa'!H4))</f>
        <v/>
      </c>
      <c r="F8" s="24">
        <f>IF($B8="","",SUMPRODUCT(BOBOT,IFERROR(VLOOKUP('Input Status'!D9:Z9,PETA,2,FALSE),0))/SUM(BOBOT))</f>
        <v/>
      </c>
      <c r="G8" s="24">
        <f>IF($B8="","",SUMPRODUCT(BOB_A,IFERROR(VLOOKUP('Input Status'!D9:J9,PETA,2,FALSE),0))/SUM(BOB_A))</f>
        <v/>
      </c>
      <c r="H8" s="24">
        <f>IF($B8="","",SUMPRODUCT(BOB_B,IFERROR(VLOOKUP('Input Status'!K9:N9,PETA,2,FALSE),0))/SUM(BOB_B))</f>
        <v/>
      </c>
      <c r="I8" s="24">
        <f>IF($B8="","",SUMPRODUCT(BOB_C,IFERROR(VLOOKUP('Input Status'!O9:T9,PETA,2,FALSE),0))/SUM(BOB_C))</f>
        <v/>
      </c>
      <c r="J8" s="24">
        <f>IF($B8="","",SUMPRODUCT(BOB_D,IFERROR(VLOOKUP('Input Status'!U9:Z9,PETA,2,FALSE),0))/SUM(BOB_D))</f>
        <v/>
      </c>
      <c r="K8" s="24">
        <f>IF(OR($B8="",$E8=""),"",SUMPRODUCT(BOBOT,((((TODAY()-$E8)/7-MULAI)/DURASI)&gt;=1)+((((TODAY()-$E8)/7-MULAI)/DURASI)&gt;0)*((((TODAY()-$E8)/7-MULAI)/DURASI)&lt;1)*(((TODAY()-$E8)/7-MULAI)/DURASI))/SUM(BOBOT))</f>
        <v/>
      </c>
      <c r="L8" s="25">
        <f>IF(OR($F8="",$K8=""),"",$F8-$K8)</f>
        <v/>
      </c>
      <c r="M8" s="21">
        <f>IF($B8="","",IF($G8&lt;1,"A. Persiapan &amp; Proposal",IF($H8&lt;1,"B. Pelaksanaan Penelitian",IF($I8&lt;1,"C. Penulisan Naskah",IF($J8&lt;1,"D. Sidang Sarjana","Selesai")))))</f>
        <v/>
      </c>
      <c r="N8" s="20">
        <f>IF($B8="","",COUNTIF('Input Status'!D9:Z9,"Selesai")&amp;"/"&amp;23)</f>
        <v/>
      </c>
      <c r="O8" s="20">
        <f>IF($B8="","",COUNTIF('Input Status'!D9:Z9,"Terhambat"))</f>
        <v/>
      </c>
      <c r="P8" s="23">
        <f>IF(OR($B8="",$E8=""),"",$E8+('Input Status'!$X$5-1+'Input Status'!$X$6)*7)</f>
        <v/>
      </c>
      <c r="Q8" s="26">
        <f>IF($P8="","",$P8-TODAY())</f>
        <v/>
      </c>
      <c r="R8" s="20">
        <f>IF($B8="","",IF($F8&gt;=1,"Selesai",IF($K8="","Sesuai Jalur",IF($L8&lt;-Pengaturan!$B$15,"Tertinggal",IF(OR($O8&gt;0,$L8&lt;-Pengaturan!$B$14),"Perlu Perhatian","Sesuai Jalur")))))</f>
        <v/>
      </c>
      <c r="S8" s="22">
        <f>IF($B8="","",TRIM(IF($O8&gt;0,$O8&amp;" kegiatan terhambat. ","")&amp;IF(AND(ISNUMBER($Q8),$Q8&lt;=Pengaturan!$B$16,$Q8&gt;=0),"Sidang "&amp;TEXT($Q8,"0")&amp;" hari lagi. ","")&amp;IF($E8="","Tanggal SK belum diisi.","")))</f>
        <v/>
      </c>
    </row>
    <row r="9">
      <c r="A9" s="20">
        <f>'Data Mahasiswa'!A5</f>
        <v/>
      </c>
      <c r="B9" s="21">
        <f>IF('Data Mahasiswa'!B5="","",'Data Mahasiswa'!B5)</f>
        <v/>
      </c>
      <c r="C9" s="21">
        <f>IF($B9="","",'Data Mahasiswa'!C5)</f>
        <v/>
      </c>
      <c r="D9" s="22">
        <f>IF($B9="","",'Data Mahasiswa'!F5)</f>
        <v/>
      </c>
      <c r="E9" s="23">
        <f>IF($B9="","",IF('Data Mahasiswa'!H5="","",'Data Mahasiswa'!H5))</f>
        <v/>
      </c>
      <c r="F9" s="24">
        <f>IF($B9="","",SUMPRODUCT(BOBOT,IFERROR(VLOOKUP('Input Status'!D10:Z10,PETA,2,FALSE),0))/SUM(BOBOT))</f>
        <v/>
      </c>
      <c r="G9" s="24">
        <f>IF($B9="","",SUMPRODUCT(BOB_A,IFERROR(VLOOKUP('Input Status'!D10:J10,PETA,2,FALSE),0))/SUM(BOB_A))</f>
        <v/>
      </c>
      <c r="H9" s="24">
        <f>IF($B9="","",SUMPRODUCT(BOB_B,IFERROR(VLOOKUP('Input Status'!K10:N10,PETA,2,FALSE),0))/SUM(BOB_B))</f>
        <v/>
      </c>
      <c r="I9" s="24">
        <f>IF($B9="","",SUMPRODUCT(BOB_C,IFERROR(VLOOKUP('Input Status'!O10:T10,PETA,2,FALSE),0))/SUM(BOB_C))</f>
        <v/>
      </c>
      <c r="J9" s="24">
        <f>IF($B9="","",SUMPRODUCT(BOB_D,IFERROR(VLOOKUP('Input Status'!U10:Z10,PETA,2,FALSE),0))/SUM(BOB_D))</f>
        <v/>
      </c>
      <c r="K9" s="24">
        <f>IF(OR($B9="",$E9=""),"",SUMPRODUCT(BOBOT,((((TODAY()-$E9)/7-MULAI)/DURASI)&gt;=1)+((((TODAY()-$E9)/7-MULAI)/DURASI)&gt;0)*((((TODAY()-$E9)/7-MULAI)/DURASI)&lt;1)*(((TODAY()-$E9)/7-MULAI)/DURASI))/SUM(BOBOT))</f>
        <v/>
      </c>
      <c r="L9" s="25">
        <f>IF(OR($F9="",$K9=""),"",$F9-$K9)</f>
        <v/>
      </c>
      <c r="M9" s="21">
        <f>IF($B9="","",IF($G9&lt;1,"A. Persiapan &amp; Proposal",IF($H9&lt;1,"B. Pelaksanaan Penelitian",IF($I9&lt;1,"C. Penulisan Naskah",IF($J9&lt;1,"D. Sidang Sarjana","Selesai")))))</f>
        <v/>
      </c>
      <c r="N9" s="20">
        <f>IF($B9="","",COUNTIF('Input Status'!D10:Z10,"Selesai")&amp;"/"&amp;23)</f>
        <v/>
      </c>
      <c r="O9" s="20">
        <f>IF($B9="","",COUNTIF('Input Status'!D10:Z10,"Terhambat"))</f>
        <v/>
      </c>
      <c r="P9" s="23">
        <f>IF(OR($B9="",$E9=""),"",$E9+('Input Status'!$X$5-1+'Input Status'!$X$6)*7)</f>
        <v/>
      </c>
      <c r="Q9" s="26">
        <f>IF($P9="","",$P9-TODAY())</f>
        <v/>
      </c>
      <c r="R9" s="20">
        <f>IF($B9="","",IF($F9&gt;=1,"Selesai",IF($K9="","Sesuai Jalur",IF($L9&lt;-Pengaturan!$B$15,"Tertinggal",IF(OR($O9&gt;0,$L9&lt;-Pengaturan!$B$14),"Perlu Perhatian","Sesuai Jalur")))))</f>
        <v/>
      </c>
      <c r="S9" s="22">
        <f>IF($B9="","",TRIM(IF($O9&gt;0,$O9&amp;" kegiatan terhambat. ","")&amp;IF(AND(ISNUMBER($Q9),$Q9&lt;=Pengaturan!$B$16,$Q9&gt;=0),"Sidang "&amp;TEXT($Q9,"0")&amp;" hari lagi. ","")&amp;IF($E9="","Tanggal SK belum diisi.","")))</f>
        <v/>
      </c>
    </row>
    <row r="10">
      <c r="A10" s="20">
        <f>'Data Mahasiswa'!A6</f>
        <v/>
      </c>
      <c r="B10" s="21">
        <f>IF('Data Mahasiswa'!B6="","",'Data Mahasiswa'!B6)</f>
        <v/>
      </c>
      <c r="C10" s="21">
        <f>IF($B10="","",'Data Mahasiswa'!C6)</f>
        <v/>
      </c>
      <c r="D10" s="22">
        <f>IF($B10="","",'Data Mahasiswa'!F6)</f>
        <v/>
      </c>
      <c r="E10" s="23">
        <f>IF($B10="","",IF('Data Mahasiswa'!H6="","",'Data Mahasiswa'!H6))</f>
        <v/>
      </c>
      <c r="F10" s="24">
        <f>IF($B10="","",SUMPRODUCT(BOBOT,IFERROR(VLOOKUP('Input Status'!D11:Z11,PETA,2,FALSE),0))/SUM(BOBOT))</f>
        <v/>
      </c>
      <c r="G10" s="24">
        <f>IF($B10="","",SUMPRODUCT(BOB_A,IFERROR(VLOOKUP('Input Status'!D11:J11,PETA,2,FALSE),0))/SUM(BOB_A))</f>
        <v/>
      </c>
      <c r="H10" s="24">
        <f>IF($B10="","",SUMPRODUCT(BOB_B,IFERROR(VLOOKUP('Input Status'!K11:N11,PETA,2,FALSE),0))/SUM(BOB_B))</f>
        <v/>
      </c>
      <c r="I10" s="24">
        <f>IF($B10="","",SUMPRODUCT(BOB_C,IFERROR(VLOOKUP('Input Status'!O11:T11,PETA,2,FALSE),0))/SUM(BOB_C))</f>
        <v/>
      </c>
      <c r="J10" s="24">
        <f>IF($B10="","",SUMPRODUCT(BOB_D,IFERROR(VLOOKUP('Input Status'!U11:Z11,PETA,2,FALSE),0))/SUM(BOB_D))</f>
        <v/>
      </c>
      <c r="K10" s="24">
        <f>IF(OR($B10="",$E10=""),"",SUMPRODUCT(BOBOT,((((TODAY()-$E10)/7-MULAI)/DURASI)&gt;=1)+((((TODAY()-$E10)/7-MULAI)/DURASI)&gt;0)*((((TODAY()-$E10)/7-MULAI)/DURASI)&lt;1)*(((TODAY()-$E10)/7-MULAI)/DURASI))/SUM(BOBOT))</f>
        <v/>
      </c>
      <c r="L10" s="25">
        <f>IF(OR($F10="",$K10=""),"",$F10-$K10)</f>
        <v/>
      </c>
      <c r="M10" s="21">
        <f>IF($B10="","",IF($G10&lt;1,"A. Persiapan &amp; Proposal",IF($H10&lt;1,"B. Pelaksanaan Penelitian",IF($I10&lt;1,"C. Penulisan Naskah",IF($J10&lt;1,"D. Sidang Sarjana","Selesai")))))</f>
        <v/>
      </c>
      <c r="N10" s="20">
        <f>IF($B10="","",COUNTIF('Input Status'!D11:Z11,"Selesai")&amp;"/"&amp;23)</f>
        <v/>
      </c>
      <c r="O10" s="20">
        <f>IF($B10="","",COUNTIF('Input Status'!D11:Z11,"Terhambat"))</f>
        <v/>
      </c>
      <c r="P10" s="23">
        <f>IF(OR($B10="",$E10=""),"",$E10+('Input Status'!$X$5-1+'Input Status'!$X$6)*7)</f>
        <v/>
      </c>
      <c r="Q10" s="26">
        <f>IF($P10="","",$P10-TODAY())</f>
        <v/>
      </c>
      <c r="R10" s="20">
        <f>IF($B10="","",IF($F10&gt;=1,"Selesai",IF($K10="","Sesuai Jalur",IF($L10&lt;-Pengaturan!$B$15,"Tertinggal",IF(OR($O10&gt;0,$L10&lt;-Pengaturan!$B$14),"Perlu Perhatian","Sesuai Jalur")))))</f>
        <v/>
      </c>
      <c r="S10" s="22">
        <f>IF($B10="","",TRIM(IF($O10&gt;0,$O10&amp;" kegiatan terhambat. ","")&amp;IF(AND(ISNUMBER($Q10),$Q10&lt;=Pengaturan!$B$16,$Q10&gt;=0),"Sidang "&amp;TEXT($Q10,"0")&amp;" hari lagi. ","")&amp;IF($E10="","Tanggal SK belum diisi.","")))</f>
        <v/>
      </c>
    </row>
    <row r="11">
      <c r="A11" s="20">
        <f>'Data Mahasiswa'!A7</f>
        <v/>
      </c>
      <c r="B11" s="21">
        <f>IF('Data Mahasiswa'!B7="","",'Data Mahasiswa'!B7)</f>
        <v/>
      </c>
      <c r="C11" s="21">
        <f>IF($B11="","",'Data Mahasiswa'!C7)</f>
        <v/>
      </c>
      <c r="D11" s="22">
        <f>IF($B11="","",'Data Mahasiswa'!F7)</f>
        <v/>
      </c>
      <c r="E11" s="23">
        <f>IF($B11="","",IF('Data Mahasiswa'!H7="","",'Data Mahasiswa'!H7))</f>
        <v/>
      </c>
      <c r="F11" s="24">
        <f>IF($B11="","",SUMPRODUCT(BOBOT,IFERROR(VLOOKUP('Input Status'!D12:Z12,PETA,2,FALSE),0))/SUM(BOBOT))</f>
        <v/>
      </c>
      <c r="G11" s="24">
        <f>IF($B11="","",SUMPRODUCT(BOB_A,IFERROR(VLOOKUP('Input Status'!D12:J12,PETA,2,FALSE),0))/SUM(BOB_A))</f>
        <v/>
      </c>
      <c r="H11" s="24">
        <f>IF($B11="","",SUMPRODUCT(BOB_B,IFERROR(VLOOKUP('Input Status'!K12:N12,PETA,2,FALSE),0))/SUM(BOB_B))</f>
        <v/>
      </c>
      <c r="I11" s="24">
        <f>IF($B11="","",SUMPRODUCT(BOB_C,IFERROR(VLOOKUP('Input Status'!O12:T12,PETA,2,FALSE),0))/SUM(BOB_C))</f>
        <v/>
      </c>
      <c r="J11" s="24">
        <f>IF($B11="","",SUMPRODUCT(BOB_D,IFERROR(VLOOKUP('Input Status'!U12:Z12,PETA,2,FALSE),0))/SUM(BOB_D))</f>
        <v/>
      </c>
      <c r="K11" s="24">
        <f>IF(OR($B11="",$E11=""),"",SUMPRODUCT(BOBOT,((((TODAY()-$E11)/7-MULAI)/DURASI)&gt;=1)+((((TODAY()-$E11)/7-MULAI)/DURASI)&gt;0)*((((TODAY()-$E11)/7-MULAI)/DURASI)&lt;1)*(((TODAY()-$E11)/7-MULAI)/DURASI))/SUM(BOBOT))</f>
        <v/>
      </c>
      <c r="L11" s="25">
        <f>IF(OR($F11="",$K11=""),"",$F11-$K11)</f>
        <v/>
      </c>
      <c r="M11" s="21">
        <f>IF($B11="","",IF($G11&lt;1,"A. Persiapan &amp; Proposal",IF($H11&lt;1,"B. Pelaksanaan Penelitian",IF($I11&lt;1,"C. Penulisan Naskah",IF($J11&lt;1,"D. Sidang Sarjana","Selesai")))))</f>
        <v/>
      </c>
      <c r="N11" s="20">
        <f>IF($B11="","",COUNTIF('Input Status'!D12:Z12,"Selesai")&amp;"/"&amp;23)</f>
        <v/>
      </c>
      <c r="O11" s="20">
        <f>IF($B11="","",COUNTIF('Input Status'!D12:Z12,"Terhambat"))</f>
        <v/>
      </c>
      <c r="P11" s="23">
        <f>IF(OR($B11="",$E11=""),"",$E11+('Input Status'!$X$5-1+'Input Status'!$X$6)*7)</f>
        <v/>
      </c>
      <c r="Q11" s="26">
        <f>IF($P11="","",$P11-TODAY())</f>
        <v/>
      </c>
      <c r="R11" s="20">
        <f>IF($B11="","",IF($F11&gt;=1,"Selesai",IF($K11="","Sesuai Jalur",IF($L11&lt;-Pengaturan!$B$15,"Tertinggal",IF(OR($O11&gt;0,$L11&lt;-Pengaturan!$B$14),"Perlu Perhatian","Sesuai Jalur")))))</f>
        <v/>
      </c>
      <c r="S11" s="22">
        <f>IF($B11="","",TRIM(IF($O11&gt;0,$O11&amp;" kegiatan terhambat. ","")&amp;IF(AND(ISNUMBER($Q11),$Q11&lt;=Pengaturan!$B$16,$Q11&gt;=0),"Sidang "&amp;TEXT($Q11,"0")&amp;" hari lagi. ","")&amp;IF($E11="","Tanggal SK belum diisi.","")))</f>
        <v/>
      </c>
    </row>
    <row r="12">
      <c r="A12" s="20">
        <f>'Data Mahasiswa'!A8</f>
        <v/>
      </c>
      <c r="B12" s="21">
        <f>IF('Data Mahasiswa'!B8="","",'Data Mahasiswa'!B8)</f>
        <v/>
      </c>
      <c r="C12" s="21">
        <f>IF($B12="","",'Data Mahasiswa'!C8)</f>
        <v/>
      </c>
      <c r="D12" s="22">
        <f>IF($B12="","",'Data Mahasiswa'!F8)</f>
        <v/>
      </c>
      <c r="E12" s="23">
        <f>IF($B12="","",IF('Data Mahasiswa'!H8="","",'Data Mahasiswa'!H8))</f>
        <v/>
      </c>
      <c r="F12" s="24">
        <f>IF($B12="","",SUMPRODUCT(BOBOT,IFERROR(VLOOKUP('Input Status'!D13:Z13,PETA,2,FALSE),0))/SUM(BOBOT))</f>
        <v/>
      </c>
      <c r="G12" s="24">
        <f>IF($B12="","",SUMPRODUCT(BOB_A,IFERROR(VLOOKUP('Input Status'!D13:J13,PETA,2,FALSE),0))/SUM(BOB_A))</f>
        <v/>
      </c>
      <c r="H12" s="24">
        <f>IF($B12="","",SUMPRODUCT(BOB_B,IFERROR(VLOOKUP('Input Status'!K13:N13,PETA,2,FALSE),0))/SUM(BOB_B))</f>
        <v/>
      </c>
      <c r="I12" s="24">
        <f>IF($B12="","",SUMPRODUCT(BOB_C,IFERROR(VLOOKUP('Input Status'!O13:T13,PETA,2,FALSE),0))/SUM(BOB_C))</f>
        <v/>
      </c>
      <c r="J12" s="24">
        <f>IF($B12="","",SUMPRODUCT(BOB_D,IFERROR(VLOOKUP('Input Status'!U13:Z13,PETA,2,FALSE),0))/SUM(BOB_D))</f>
        <v/>
      </c>
      <c r="K12" s="24">
        <f>IF(OR($B12="",$E12=""),"",SUMPRODUCT(BOBOT,((((TODAY()-$E12)/7-MULAI)/DURASI)&gt;=1)+((((TODAY()-$E12)/7-MULAI)/DURASI)&gt;0)*((((TODAY()-$E12)/7-MULAI)/DURASI)&lt;1)*(((TODAY()-$E12)/7-MULAI)/DURASI))/SUM(BOBOT))</f>
        <v/>
      </c>
      <c r="L12" s="25">
        <f>IF(OR($F12="",$K12=""),"",$F12-$K12)</f>
        <v/>
      </c>
      <c r="M12" s="21">
        <f>IF($B12="","",IF($G12&lt;1,"A. Persiapan &amp; Proposal",IF($H12&lt;1,"B. Pelaksanaan Penelitian",IF($I12&lt;1,"C. Penulisan Naskah",IF($J12&lt;1,"D. Sidang Sarjana","Selesai")))))</f>
        <v/>
      </c>
      <c r="N12" s="20">
        <f>IF($B12="","",COUNTIF('Input Status'!D13:Z13,"Selesai")&amp;"/"&amp;23)</f>
        <v/>
      </c>
      <c r="O12" s="20">
        <f>IF($B12="","",COUNTIF('Input Status'!D13:Z13,"Terhambat"))</f>
        <v/>
      </c>
      <c r="P12" s="23">
        <f>IF(OR($B12="",$E12=""),"",$E12+('Input Status'!$X$5-1+'Input Status'!$X$6)*7)</f>
        <v/>
      </c>
      <c r="Q12" s="26">
        <f>IF($P12="","",$P12-TODAY())</f>
        <v/>
      </c>
      <c r="R12" s="20">
        <f>IF($B12="","",IF($F12&gt;=1,"Selesai",IF($K12="","Sesuai Jalur",IF($L12&lt;-Pengaturan!$B$15,"Tertinggal",IF(OR($O12&gt;0,$L12&lt;-Pengaturan!$B$14),"Perlu Perhatian","Sesuai Jalur")))))</f>
        <v/>
      </c>
      <c r="S12" s="22">
        <f>IF($B12="","",TRIM(IF($O12&gt;0,$O12&amp;" kegiatan terhambat. ","")&amp;IF(AND(ISNUMBER($Q12),$Q12&lt;=Pengaturan!$B$16,$Q12&gt;=0),"Sidang "&amp;TEXT($Q12,"0")&amp;" hari lagi. ","")&amp;IF($E12="","Tanggal SK belum diisi.","")))</f>
        <v/>
      </c>
    </row>
    <row r="13">
      <c r="A13" s="20">
        <f>'Data Mahasiswa'!A9</f>
        <v/>
      </c>
      <c r="B13" s="21">
        <f>IF('Data Mahasiswa'!B9="","",'Data Mahasiswa'!B9)</f>
        <v/>
      </c>
      <c r="C13" s="21">
        <f>IF($B13="","",'Data Mahasiswa'!C9)</f>
        <v/>
      </c>
      <c r="D13" s="22">
        <f>IF($B13="","",'Data Mahasiswa'!F9)</f>
        <v/>
      </c>
      <c r="E13" s="23">
        <f>IF($B13="","",IF('Data Mahasiswa'!H9="","",'Data Mahasiswa'!H9))</f>
        <v/>
      </c>
      <c r="F13" s="24">
        <f>IF($B13="","",SUMPRODUCT(BOBOT,IFERROR(VLOOKUP('Input Status'!D14:Z14,PETA,2,FALSE),0))/SUM(BOBOT))</f>
        <v/>
      </c>
      <c r="G13" s="24">
        <f>IF($B13="","",SUMPRODUCT(BOB_A,IFERROR(VLOOKUP('Input Status'!D14:J14,PETA,2,FALSE),0))/SUM(BOB_A))</f>
        <v/>
      </c>
      <c r="H13" s="24">
        <f>IF($B13="","",SUMPRODUCT(BOB_B,IFERROR(VLOOKUP('Input Status'!K14:N14,PETA,2,FALSE),0))/SUM(BOB_B))</f>
        <v/>
      </c>
      <c r="I13" s="24">
        <f>IF($B13="","",SUMPRODUCT(BOB_C,IFERROR(VLOOKUP('Input Status'!O14:T14,PETA,2,FALSE),0))/SUM(BOB_C))</f>
        <v/>
      </c>
      <c r="J13" s="24">
        <f>IF($B13="","",SUMPRODUCT(BOB_D,IFERROR(VLOOKUP('Input Status'!U14:Z14,PETA,2,FALSE),0))/SUM(BOB_D))</f>
        <v/>
      </c>
      <c r="K13" s="24">
        <f>IF(OR($B13="",$E13=""),"",SUMPRODUCT(BOBOT,((((TODAY()-$E13)/7-MULAI)/DURASI)&gt;=1)+((((TODAY()-$E13)/7-MULAI)/DURASI)&gt;0)*((((TODAY()-$E13)/7-MULAI)/DURASI)&lt;1)*(((TODAY()-$E13)/7-MULAI)/DURASI))/SUM(BOBOT))</f>
        <v/>
      </c>
      <c r="L13" s="25">
        <f>IF(OR($F13="",$K13=""),"",$F13-$K13)</f>
        <v/>
      </c>
      <c r="M13" s="21">
        <f>IF($B13="","",IF($G13&lt;1,"A. Persiapan &amp; Proposal",IF($H13&lt;1,"B. Pelaksanaan Penelitian",IF($I13&lt;1,"C. Penulisan Naskah",IF($J13&lt;1,"D. Sidang Sarjana","Selesai")))))</f>
        <v/>
      </c>
      <c r="N13" s="20">
        <f>IF($B13="","",COUNTIF('Input Status'!D14:Z14,"Selesai")&amp;"/"&amp;23)</f>
        <v/>
      </c>
      <c r="O13" s="20">
        <f>IF($B13="","",COUNTIF('Input Status'!D14:Z14,"Terhambat"))</f>
        <v/>
      </c>
      <c r="P13" s="23">
        <f>IF(OR($B13="",$E13=""),"",$E13+('Input Status'!$X$5-1+'Input Status'!$X$6)*7)</f>
        <v/>
      </c>
      <c r="Q13" s="26">
        <f>IF($P13="","",$P13-TODAY())</f>
        <v/>
      </c>
      <c r="R13" s="20">
        <f>IF($B13="","",IF($F13&gt;=1,"Selesai",IF($K13="","Sesuai Jalur",IF($L13&lt;-Pengaturan!$B$15,"Tertinggal",IF(OR($O13&gt;0,$L13&lt;-Pengaturan!$B$14),"Perlu Perhatian","Sesuai Jalur")))))</f>
        <v/>
      </c>
      <c r="S13" s="22">
        <f>IF($B13="","",TRIM(IF($O13&gt;0,$O13&amp;" kegiatan terhambat. ","")&amp;IF(AND(ISNUMBER($Q13),$Q13&lt;=Pengaturan!$B$16,$Q13&gt;=0),"Sidang "&amp;TEXT($Q13,"0")&amp;" hari lagi. ","")&amp;IF($E13="","Tanggal SK belum diisi.","")))</f>
        <v/>
      </c>
    </row>
    <row r="14">
      <c r="A14" s="20">
        <f>'Data Mahasiswa'!A10</f>
        <v/>
      </c>
      <c r="B14" s="21">
        <f>IF('Data Mahasiswa'!B10="","",'Data Mahasiswa'!B10)</f>
        <v/>
      </c>
      <c r="C14" s="21">
        <f>IF($B14="","",'Data Mahasiswa'!C10)</f>
        <v/>
      </c>
      <c r="D14" s="22">
        <f>IF($B14="","",'Data Mahasiswa'!F10)</f>
        <v/>
      </c>
      <c r="E14" s="23">
        <f>IF($B14="","",IF('Data Mahasiswa'!H10="","",'Data Mahasiswa'!H10))</f>
        <v/>
      </c>
      <c r="F14" s="24">
        <f>IF($B14="","",SUMPRODUCT(BOBOT,IFERROR(VLOOKUP('Input Status'!D15:Z15,PETA,2,FALSE),0))/SUM(BOBOT))</f>
        <v/>
      </c>
      <c r="G14" s="24">
        <f>IF($B14="","",SUMPRODUCT(BOB_A,IFERROR(VLOOKUP('Input Status'!D15:J15,PETA,2,FALSE),0))/SUM(BOB_A))</f>
        <v/>
      </c>
      <c r="H14" s="24">
        <f>IF($B14="","",SUMPRODUCT(BOB_B,IFERROR(VLOOKUP('Input Status'!K15:N15,PETA,2,FALSE),0))/SUM(BOB_B))</f>
        <v/>
      </c>
      <c r="I14" s="24">
        <f>IF($B14="","",SUMPRODUCT(BOB_C,IFERROR(VLOOKUP('Input Status'!O15:T15,PETA,2,FALSE),0))/SUM(BOB_C))</f>
        <v/>
      </c>
      <c r="J14" s="24">
        <f>IF($B14="","",SUMPRODUCT(BOB_D,IFERROR(VLOOKUP('Input Status'!U15:Z15,PETA,2,FALSE),0))/SUM(BOB_D))</f>
        <v/>
      </c>
      <c r="K14" s="24">
        <f>IF(OR($B14="",$E14=""),"",SUMPRODUCT(BOBOT,((((TODAY()-$E14)/7-MULAI)/DURASI)&gt;=1)+((((TODAY()-$E14)/7-MULAI)/DURASI)&gt;0)*((((TODAY()-$E14)/7-MULAI)/DURASI)&lt;1)*(((TODAY()-$E14)/7-MULAI)/DURASI))/SUM(BOBOT))</f>
        <v/>
      </c>
      <c r="L14" s="25">
        <f>IF(OR($F14="",$K14=""),"",$F14-$K14)</f>
        <v/>
      </c>
      <c r="M14" s="21">
        <f>IF($B14="","",IF($G14&lt;1,"A. Persiapan &amp; Proposal",IF($H14&lt;1,"B. Pelaksanaan Penelitian",IF($I14&lt;1,"C. Penulisan Naskah",IF($J14&lt;1,"D. Sidang Sarjana","Selesai")))))</f>
        <v/>
      </c>
      <c r="N14" s="20">
        <f>IF($B14="","",COUNTIF('Input Status'!D15:Z15,"Selesai")&amp;"/"&amp;23)</f>
        <v/>
      </c>
      <c r="O14" s="20">
        <f>IF($B14="","",COUNTIF('Input Status'!D15:Z15,"Terhambat"))</f>
        <v/>
      </c>
      <c r="P14" s="23">
        <f>IF(OR($B14="",$E14=""),"",$E14+('Input Status'!$X$5-1+'Input Status'!$X$6)*7)</f>
        <v/>
      </c>
      <c r="Q14" s="26">
        <f>IF($P14="","",$P14-TODAY())</f>
        <v/>
      </c>
      <c r="R14" s="20">
        <f>IF($B14="","",IF($F14&gt;=1,"Selesai",IF($K14="","Sesuai Jalur",IF($L14&lt;-Pengaturan!$B$15,"Tertinggal",IF(OR($O14&gt;0,$L14&lt;-Pengaturan!$B$14),"Perlu Perhatian","Sesuai Jalur")))))</f>
        <v/>
      </c>
      <c r="S14" s="22">
        <f>IF($B14="","",TRIM(IF($O14&gt;0,$O14&amp;" kegiatan terhambat. ","")&amp;IF(AND(ISNUMBER($Q14),$Q14&lt;=Pengaturan!$B$16,$Q14&gt;=0),"Sidang "&amp;TEXT($Q14,"0")&amp;" hari lagi. ","")&amp;IF($E14="","Tanggal SK belum diisi.","")))</f>
        <v/>
      </c>
    </row>
    <row r="15">
      <c r="A15" s="20">
        <f>'Data Mahasiswa'!A11</f>
        <v/>
      </c>
      <c r="B15" s="21">
        <f>IF('Data Mahasiswa'!B11="","",'Data Mahasiswa'!B11)</f>
        <v/>
      </c>
      <c r="C15" s="21">
        <f>IF($B15="","",'Data Mahasiswa'!C11)</f>
        <v/>
      </c>
      <c r="D15" s="22">
        <f>IF($B15="","",'Data Mahasiswa'!F11)</f>
        <v/>
      </c>
      <c r="E15" s="23">
        <f>IF($B15="","",IF('Data Mahasiswa'!H11="","",'Data Mahasiswa'!H11))</f>
        <v/>
      </c>
      <c r="F15" s="24">
        <f>IF($B15="","",SUMPRODUCT(BOBOT,IFERROR(VLOOKUP('Input Status'!D16:Z16,PETA,2,FALSE),0))/SUM(BOBOT))</f>
        <v/>
      </c>
      <c r="G15" s="24">
        <f>IF($B15="","",SUMPRODUCT(BOB_A,IFERROR(VLOOKUP('Input Status'!D16:J16,PETA,2,FALSE),0))/SUM(BOB_A))</f>
        <v/>
      </c>
      <c r="H15" s="24">
        <f>IF($B15="","",SUMPRODUCT(BOB_B,IFERROR(VLOOKUP('Input Status'!K16:N16,PETA,2,FALSE),0))/SUM(BOB_B))</f>
        <v/>
      </c>
      <c r="I15" s="24">
        <f>IF($B15="","",SUMPRODUCT(BOB_C,IFERROR(VLOOKUP('Input Status'!O16:T16,PETA,2,FALSE),0))/SUM(BOB_C))</f>
        <v/>
      </c>
      <c r="J15" s="24">
        <f>IF($B15="","",SUMPRODUCT(BOB_D,IFERROR(VLOOKUP('Input Status'!U16:Z16,PETA,2,FALSE),0))/SUM(BOB_D))</f>
        <v/>
      </c>
      <c r="K15" s="24">
        <f>IF(OR($B15="",$E15=""),"",SUMPRODUCT(BOBOT,((((TODAY()-$E15)/7-MULAI)/DURASI)&gt;=1)+((((TODAY()-$E15)/7-MULAI)/DURASI)&gt;0)*((((TODAY()-$E15)/7-MULAI)/DURASI)&lt;1)*(((TODAY()-$E15)/7-MULAI)/DURASI))/SUM(BOBOT))</f>
        <v/>
      </c>
      <c r="L15" s="25">
        <f>IF(OR($F15="",$K15=""),"",$F15-$K15)</f>
        <v/>
      </c>
      <c r="M15" s="21">
        <f>IF($B15="","",IF($G15&lt;1,"A. Persiapan &amp; Proposal",IF($H15&lt;1,"B. Pelaksanaan Penelitian",IF($I15&lt;1,"C. Penulisan Naskah",IF($J15&lt;1,"D. Sidang Sarjana","Selesai")))))</f>
        <v/>
      </c>
      <c r="N15" s="20">
        <f>IF($B15="","",COUNTIF('Input Status'!D16:Z16,"Selesai")&amp;"/"&amp;23)</f>
        <v/>
      </c>
      <c r="O15" s="20">
        <f>IF($B15="","",COUNTIF('Input Status'!D16:Z16,"Terhambat"))</f>
        <v/>
      </c>
      <c r="P15" s="23">
        <f>IF(OR($B15="",$E15=""),"",$E15+('Input Status'!$X$5-1+'Input Status'!$X$6)*7)</f>
        <v/>
      </c>
      <c r="Q15" s="26">
        <f>IF($P15="","",$P15-TODAY())</f>
        <v/>
      </c>
      <c r="R15" s="20">
        <f>IF($B15="","",IF($F15&gt;=1,"Selesai",IF($K15="","Sesuai Jalur",IF($L15&lt;-Pengaturan!$B$15,"Tertinggal",IF(OR($O15&gt;0,$L15&lt;-Pengaturan!$B$14),"Perlu Perhatian","Sesuai Jalur")))))</f>
        <v/>
      </c>
      <c r="S15" s="22">
        <f>IF($B15="","",TRIM(IF($O15&gt;0,$O15&amp;" kegiatan terhambat. ","")&amp;IF(AND(ISNUMBER($Q15),$Q15&lt;=Pengaturan!$B$16,$Q15&gt;=0),"Sidang "&amp;TEXT($Q15,"0")&amp;" hari lagi. ","")&amp;IF($E15="","Tanggal SK belum diisi.","")))</f>
        <v/>
      </c>
    </row>
    <row r="16">
      <c r="A16" s="20">
        <f>'Data Mahasiswa'!A12</f>
        <v/>
      </c>
      <c r="B16" s="21">
        <f>IF('Data Mahasiswa'!B12="","",'Data Mahasiswa'!B12)</f>
        <v/>
      </c>
      <c r="C16" s="21">
        <f>IF($B16="","",'Data Mahasiswa'!C12)</f>
        <v/>
      </c>
      <c r="D16" s="22">
        <f>IF($B16="","",'Data Mahasiswa'!F12)</f>
        <v/>
      </c>
      <c r="E16" s="23">
        <f>IF($B16="","",IF('Data Mahasiswa'!H12="","",'Data Mahasiswa'!H12))</f>
        <v/>
      </c>
      <c r="F16" s="24">
        <f>IF($B16="","",SUMPRODUCT(BOBOT,IFERROR(VLOOKUP('Input Status'!D17:Z17,PETA,2,FALSE),0))/SUM(BOBOT))</f>
        <v/>
      </c>
      <c r="G16" s="24">
        <f>IF($B16="","",SUMPRODUCT(BOB_A,IFERROR(VLOOKUP('Input Status'!D17:J17,PETA,2,FALSE),0))/SUM(BOB_A))</f>
        <v/>
      </c>
      <c r="H16" s="24">
        <f>IF($B16="","",SUMPRODUCT(BOB_B,IFERROR(VLOOKUP('Input Status'!K17:N17,PETA,2,FALSE),0))/SUM(BOB_B))</f>
        <v/>
      </c>
      <c r="I16" s="24">
        <f>IF($B16="","",SUMPRODUCT(BOB_C,IFERROR(VLOOKUP('Input Status'!O17:T17,PETA,2,FALSE),0))/SUM(BOB_C))</f>
        <v/>
      </c>
      <c r="J16" s="24">
        <f>IF($B16="","",SUMPRODUCT(BOB_D,IFERROR(VLOOKUP('Input Status'!U17:Z17,PETA,2,FALSE),0))/SUM(BOB_D))</f>
        <v/>
      </c>
      <c r="K16" s="24">
        <f>IF(OR($B16="",$E16=""),"",SUMPRODUCT(BOBOT,((((TODAY()-$E16)/7-MULAI)/DURASI)&gt;=1)+((((TODAY()-$E16)/7-MULAI)/DURASI)&gt;0)*((((TODAY()-$E16)/7-MULAI)/DURASI)&lt;1)*(((TODAY()-$E16)/7-MULAI)/DURASI))/SUM(BOBOT))</f>
        <v/>
      </c>
      <c r="L16" s="25">
        <f>IF(OR($F16="",$K16=""),"",$F16-$K16)</f>
        <v/>
      </c>
      <c r="M16" s="21">
        <f>IF($B16="","",IF($G16&lt;1,"A. Persiapan &amp; Proposal",IF($H16&lt;1,"B. Pelaksanaan Penelitian",IF($I16&lt;1,"C. Penulisan Naskah",IF($J16&lt;1,"D. Sidang Sarjana","Selesai")))))</f>
        <v/>
      </c>
      <c r="N16" s="20">
        <f>IF($B16="","",COUNTIF('Input Status'!D17:Z17,"Selesai")&amp;"/"&amp;23)</f>
        <v/>
      </c>
      <c r="O16" s="20">
        <f>IF($B16="","",COUNTIF('Input Status'!D17:Z17,"Terhambat"))</f>
        <v/>
      </c>
      <c r="P16" s="23">
        <f>IF(OR($B16="",$E16=""),"",$E16+('Input Status'!$X$5-1+'Input Status'!$X$6)*7)</f>
        <v/>
      </c>
      <c r="Q16" s="26">
        <f>IF($P16="","",$P16-TODAY())</f>
        <v/>
      </c>
      <c r="R16" s="20">
        <f>IF($B16="","",IF($F16&gt;=1,"Selesai",IF($K16="","Sesuai Jalur",IF($L16&lt;-Pengaturan!$B$15,"Tertinggal",IF(OR($O16&gt;0,$L16&lt;-Pengaturan!$B$14),"Perlu Perhatian","Sesuai Jalur")))))</f>
        <v/>
      </c>
      <c r="S16" s="22">
        <f>IF($B16="","",TRIM(IF($O16&gt;0,$O16&amp;" kegiatan terhambat. ","")&amp;IF(AND(ISNUMBER($Q16),$Q16&lt;=Pengaturan!$B$16,$Q16&gt;=0),"Sidang "&amp;TEXT($Q16,"0")&amp;" hari lagi. ","")&amp;IF($E16="","Tanggal SK belum diisi.","")))</f>
        <v/>
      </c>
    </row>
    <row r="17">
      <c r="A17" s="20">
        <f>'Data Mahasiswa'!A13</f>
        <v/>
      </c>
      <c r="B17" s="21">
        <f>IF('Data Mahasiswa'!B13="","",'Data Mahasiswa'!B13)</f>
        <v/>
      </c>
      <c r="C17" s="21">
        <f>IF($B17="","",'Data Mahasiswa'!C13)</f>
        <v/>
      </c>
      <c r="D17" s="22">
        <f>IF($B17="","",'Data Mahasiswa'!F13)</f>
        <v/>
      </c>
      <c r="E17" s="23">
        <f>IF($B17="","",IF('Data Mahasiswa'!H13="","",'Data Mahasiswa'!H13))</f>
        <v/>
      </c>
      <c r="F17" s="24">
        <f>IF($B17="","",SUMPRODUCT(BOBOT,IFERROR(VLOOKUP('Input Status'!D18:Z18,PETA,2,FALSE),0))/SUM(BOBOT))</f>
        <v/>
      </c>
      <c r="G17" s="24">
        <f>IF($B17="","",SUMPRODUCT(BOB_A,IFERROR(VLOOKUP('Input Status'!D18:J18,PETA,2,FALSE),0))/SUM(BOB_A))</f>
        <v/>
      </c>
      <c r="H17" s="24">
        <f>IF($B17="","",SUMPRODUCT(BOB_B,IFERROR(VLOOKUP('Input Status'!K18:N18,PETA,2,FALSE),0))/SUM(BOB_B))</f>
        <v/>
      </c>
      <c r="I17" s="24">
        <f>IF($B17="","",SUMPRODUCT(BOB_C,IFERROR(VLOOKUP('Input Status'!O18:T18,PETA,2,FALSE),0))/SUM(BOB_C))</f>
        <v/>
      </c>
      <c r="J17" s="24">
        <f>IF($B17="","",SUMPRODUCT(BOB_D,IFERROR(VLOOKUP('Input Status'!U18:Z18,PETA,2,FALSE),0))/SUM(BOB_D))</f>
        <v/>
      </c>
      <c r="K17" s="24">
        <f>IF(OR($B17="",$E17=""),"",SUMPRODUCT(BOBOT,((((TODAY()-$E17)/7-MULAI)/DURASI)&gt;=1)+((((TODAY()-$E17)/7-MULAI)/DURASI)&gt;0)*((((TODAY()-$E17)/7-MULAI)/DURASI)&lt;1)*(((TODAY()-$E17)/7-MULAI)/DURASI))/SUM(BOBOT))</f>
        <v/>
      </c>
      <c r="L17" s="25">
        <f>IF(OR($F17="",$K17=""),"",$F17-$K17)</f>
        <v/>
      </c>
      <c r="M17" s="21">
        <f>IF($B17="","",IF($G17&lt;1,"A. Persiapan &amp; Proposal",IF($H17&lt;1,"B. Pelaksanaan Penelitian",IF($I17&lt;1,"C. Penulisan Naskah",IF($J17&lt;1,"D. Sidang Sarjana","Selesai")))))</f>
        <v/>
      </c>
      <c r="N17" s="20">
        <f>IF($B17="","",COUNTIF('Input Status'!D18:Z18,"Selesai")&amp;"/"&amp;23)</f>
        <v/>
      </c>
      <c r="O17" s="20">
        <f>IF($B17="","",COUNTIF('Input Status'!D18:Z18,"Terhambat"))</f>
        <v/>
      </c>
      <c r="P17" s="23">
        <f>IF(OR($B17="",$E17=""),"",$E17+('Input Status'!$X$5-1+'Input Status'!$X$6)*7)</f>
        <v/>
      </c>
      <c r="Q17" s="26">
        <f>IF($P17="","",$P17-TODAY())</f>
        <v/>
      </c>
      <c r="R17" s="20">
        <f>IF($B17="","",IF($F17&gt;=1,"Selesai",IF($K17="","Sesuai Jalur",IF($L17&lt;-Pengaturan!$B$15,"Tertinggal",IF(OR($O17&gt;0,$L17&lt;-Pengaturan!$B$14),"Perlu Perhatian","Sesuai Jalur")))))</f>
        <v/>
      </c>
      <c r="S17" s="22">
        <f>IF($B17="","",TRIM(IF($O17&gt;0,$O17&amp;" kegiatan terhambat. ","")&amp;IF(AND(ISNUMBER($Q17),$Q17&lt;=Pengaturan!$B$16,$Q17&gt;=0),"Sidang "&amp;TEXT($Q17,"0")&amp;" hari lagi. ","")&amp;IF($E17="","Tanggal SK belum diisi.","")))</f>
        <v/>
      </c>
    </row>
    <row r="18">
      <c r="A18" s="20">
        <f>'Data Mahasiswa'!A14</f>
        <v/>
      </c>
      <c r="B18" s="21">
        <f>IF('Data Mahasiswa'!B14="","",'Data Mahasiswa'!B14)</f>
        <v/>
      </c>
      <c r="C18" s="21">
        <f>IF($B18="","",'Data Mahasiswa'!C14)</f>
        <v/>
      </c>
      <c r="D18" s="22">
        <f>IF($B18="","",'Data Mahasiswa'!F14)</f>
        <v/>
      </c>
      <c r="E18" s="23">
        <f>IF($B18="","",IF('Data Mahasiswa'!H14="","",'Data Mahasiswa'!H14))</f>
        <v/>
      </c>
      <c r="F18" s="24">
        <f>IF($B18="","",SUMPRODUCT(BOBOT,IFERROR(VLOOKUP('Input Status'!D19:Z19,PETA,2,FALSE),0))/SUM(BOBOT))</f>
        <v/>
      </c>
      <c r="G18" s="24">
        <f>IF($B18="","",SUMPRODUCT(BOB_A,IFERROR(VLOOKUP('Input Status'!D19:J19,PETA,2,FALSE),0))/SUM(BOB_A))</f>
        <v/>
      </c>
      <c r="H18" s="24">
        <f>IF($B18="","",SUMPRODUCT(BOB_B,IFERROR(VLOOKUP('Input Status'!K19:N19,PETA,2,FALSE),0))/SUM(BOB_B))</f>
        <v/>
      </c>
      <c r="I18" s="24">
        <f>IF($B18="","",SUMPRODUCT(BOB_C,IFERROR(VLOOKUP('Input Status'!O19:T19,PETA,2,FALSE),0))/SUM(BOB_C))</f>
        <v/>
      </c>
      <c r="J18" s="24">
        <f>IF($B18="","",SUMPRODUCT(BOB_D,IFERROR(VLOOKUP('Input Status'!U19:Z19,PETA,2,FALSE),0))/SUM(BOB_D))</f>
        <v/>
      </c>
      <c r="K18" s="24">
        <f>IF(OR($B18="",$E18=""),"",SUMPRODUCT(BOBOT,((((TODAY()-$E18)/7-MULAI)/DURASI)&gt;=1)+((((TODAY()-$E18)/7-MULAI)/DURASI)&gt;0)*((((TODAY()-$E18)/7-MULAI)/DURASI)&lt;1)*(((TODAY()-$E18)/7-MULAI)/DURASI))/SUM(BOBOT))</f>
        <v/>
      </c>
      <c r="L18" s="25">
        <f>IF(OR($F18="",$K18=""),"",$F18-$K18)</f>
        <v/>
      </c>
      <c r="M18" s="21">
        <f>IF($B18="","",IF($G18&lt;1,"A. Persiapan &amp; Proposal",IF($H18&lt;1,"B. Pelaksanaan Penelitian",IF($I18&lt;1,"C. Penulisan Naskah",IF($J18&lt;1,"D. Sidang Sarjana","Selesai")))))</f>
        <v/>
      </c>
      <c r="N18" s="20">
        <f>IF($B18="","",COUNTIF('Input Status'!D19:Z19,"Selesai")&amp;"/"&amp;23)</f>
        <v/>
      </c>
      <c r="O18" s="20">
        <f>IF($B18="","",COUNTIF('Input Status'!D19:Z19,"Terhambat"))</f>
        <v/>
      </c>
      <c r="P18" s="23">
        <f>IF(OR($B18="",$E18=""),"",$E18+('Input Status'!$X$5-1+'Input Status'!$X$6)*7)</f>
        <v/>
      </c>
      <c r="Q18" s="26">
        <f>IF($P18="","",$P18-TODAY())</f>
        <v/>
      </c>
      <c r="R18" s="20">
        <f>IF($B18="","",IF($F18&gt;=1,"Selesai",IF($K18="","Sesuai Jalur",IF($L18&lt;-Pengaturan!$B$15,"Tertinggal",IF(OR($O18&gt;0,$L18&lt;-Pengaturan!$B$14),"Perlu Perhatian","Sesuai Jalur")))))</f>
        <v/>
      </c>
      <c r="S18" s="22">
        <f>IF($B18="","",TRIM(IF($O18&gt;0,$O18&amp;" kegiatan terhambat. ","")&amp;IF(AND(ISNUMBER($Q18),$Q18&lt;=Pengaturan!$B$16,$Q18&gt;=0),"Sidang "&amp;TEXT($Q18,"0")&amp;" hari lagi. ","")&amp;IF($E18="","Tanggal SK belum diisi.","")))</f>
        <v/>
      </c>
    </row>
    <row r="19">
      <c r="A19" s="20">
        <f>'Data Mahasiswa'!A15</f>
        <v/>
      </c>
      <c r="B19" s="21">
        <f>IF('Data Mahasiswa'!B15="","",'Data Mahasiswa'!B15)</f>
        <v/>
      </c>
      <c r="C19" s="21">
        <f>IF($B19="","",'Data Mahasiswa'!C15)</f>
        <v/>
      </c>
      <c r="D19" s="22">
        <f>IF($B19="","",'Data Mahasiswa'!F15)</f>
        <v/>
      </c>
      <c r="E19" s="23">
        <f>IF($B19="","",IF('Data Mahasiswa'!H15="","",'Data Mahasiswa'!H15))</f>
        <v/>
      </c>
      <c r="F19" s="24">
        <f>IF($B19="","",SUMPRODUCT(BOBOT,IFERROR(VLOOKUP('Input Status'!D20:Z20,PETA,2,FALSE),0))/SUM(BOBOT))</f>
        <v/>
      </c>
      <c r="G19" s="24">
        <f>IF($B19="","",SUMPRODUCT(BOB_A,IFERROR(VLOOKUP('Input Status'!D20:J20,PETA,2,FALSE),0))/SUM(BOB_A))</f>
        <v/>
      </c>
      <c r="H19" s="24">
        <f>IF($B19="","",SUMPRODUCT(BOB_B,IFERROR(VLOOKUP('Input Status'!K20:N20,PETA,2,FALSE),0))/SUM(BOB_B))</f>
        <v/>
      </c>
      <c r="I19" s="24">
        <f>IF($B19="","",SUMPRODUCT(BOB_C,IFERROR(VLOOKUP('Input Status'!O20:T20,PETA,2,FALSE),0))/SUM(BOB_C))</f>
        <v/>
      </c>
      <c r="J19" s="24">
        <f>IF($B19="","",SUMPRODUCT(BOB_D,IFERROR(VLOOKUP('Input Status'!U20:Z20,PETA,2,FALSE),0))/SUM(BOB_D))</f>
        <v/>
      </c>
      <c r="K19" s="24">
        <f>IF(OR($B19="",$E19=""),"",SUMPRODUCT(BOBOT,((((TODAY()-$E19)/7-MULAI)/DURASI)&gt;=1)+((((TODAY()-$E19)/7-MULAI)/DURASI)&gt;0)*((((TODAY()-$E19)/7-MULAI)/DURASI)&lt;1)*(((TODAY()-$E19)/7-MULAI)/DURASI))/SUM(BOBOT))</f>
        <v/>
      </c>
      <c r="L19" s="25">
        <f>IF(OR($F19="",$K19=""),"",$F19-$K19)</f>
        <v/>
      </c>
      <c r="M19" s="21">
        <f>IF($B19="","",IF($G19&lt;1,"A. Persiapan &amp; Proposal",IF($H19&lt;1,"B. Pelaksanaan Penelitian",IF($I19&lt;1,"C. Penulisan Naskah",IF($J19&lt;1,"D. Sidang Sarjana","Selesai")))))</f>
        <v/>
      </c>
      <c r="N19" s="20">
        <f>IF($B19="","",COUNTIF('Input Status'!D20:Z20,"Selesai")&amp;"/"&amp;23)</f>
        <v/>
      </c>
      <c r="O19" s="20">
        <f>IF($B19="","",COUNTIF('Input Status'!D20:Z20,"Terhambat"))</f>
        <v/>
      </c>
      <c r="P19" s="23">
        <f>IF(OR($B19="",$E19=""),"",$E19+('Input Status'!$X$5-1+'Input Status'!$X$6)*7)</f>
        <v/>
      </c>
      <c r="Q19" s="26">
        <f>IF($P19="","",$P19-TODAY())</f>
        <v/>
      </c>
      <c r="R19" s="20">
        <f>IF($B19="","",IF($F19&gt;=1,"Selesai",IF($K19="","Sesuai Jalur",IF($L19&lt;-Pengaturan!$B$15,"Tertinggal",IF(OR($O19&gt;0,$L19&lt;-Pengaturan!$B$14),"Perlu Perhatian","Sesuai Jalur")))))</f>
        <v/>
      </c>
      <c r="S19" s="22">
        <f>IF($B19="","",TRIM(IF($O19&gt;0,$O19&amp;" kegiatan terhambat. ","")&amp;IF(AND(ISNUMBER($Q19),$Q19&lt;=Pengaturan!$B$16,$Q19&gt;=0),"Sidang "&amp;TEXT($Q19,"0")&amp;" hari lagi. ","")&amp;IF($E19="","Tanggal SK belum diisi.","")))</f>
        <v/>
      </c>
    </row>
    <row r="20">
      <c r="A20" s="20">
        <f>'Data Mahasiswa'!A16</f>
        <v/>
      </c>
      <c r="B20" s="21">
        <f>IF('Data Mahasiswa'!B16="","",'Data Mahasiswa'!B16)</f>
        <v/>
      </c>
      <c r="C20" s="21">
        <f>IF($B20="","",'Data Mahasiswa'!C16)</f>
        <v/>
      </c>
      <c r="D20" s="22">
        <f>IF($B20="","",'Data Mahasiswa'!F16)</f>
        <v/>
      </c>
      <c r="E20" s="23">
        <f>IF($B20="","",IF('Data Mahasiswa'!H16="","",'Data Mahasiswa'!H16))</f>
        <v/>
      </c>
      <c r="F20" s="24">
        <f>IF($B20="","",SUMPRODUCT(BOBOT,IFERROR(VLOOKUP('Input Status'!D21:Z21,PETA,2,FALSE),0))/SUM(BOBOT))</f>
        <v/>
      </c>
      <c r="G20" s="24">
        <f>IF($B20="","",SUMPRODUCT(BOB_A,IFERROR(VLOOKUP('Input Status'!D21:J21,PETA,2,FALSE),0))/SUM(BOB_A))</f>
        <v/>
      </c>
      <c r="H20" s="24">
        <f>IF($B20="","",SUMPRODUCT(BOB_B,IFERROR(VLOOKUP('Input Status'!K21:N21,PETA,2,FALSE),0))/SUM(BOB_B))</f>
        <v/>
      </c>
      <c r="I20" s="24">
        <f>IF($B20="","",SUMPRODUCT(BOB_C,IFERROR(VLOOKUP('Input Status'!O21:T21,PETA,2,FALSE),0))/SUM(BOB_C))</f>
        <v/>
      </c>
      <c r="J20" s="24">
        <f>IF($B20="","",SUMPRODUCT(BOB_D,IFERROR(VLOOKUP('Input Status'!U21:Z21,PETA,2,FALSE),0))/SUM(BOB_D))</f>
        <v/>
      </c>
      <c r="K20" s="24">
        <f>IF(OR($B20="",$E20=""),"",SUMPRODUCT(BOBOT,((((TODAY()-$E20)/7-MULAI)/DURASI)&gt;=1)+((((TODAY()-$E20)/7-MULAI)/DURASI)&gt;0)*((((TODAY()-$E20)/7-MULAI)/DURASI)&lt;1)*(((TODAY()-$E20)/7-MULAI)/DURASI))/SUM(BOBOT))</f>
        <v/>
      </c>
      <c r="L20" s="25">
        <f>IF(OR($F20="",$K20=""),"",$F20-$K20)</f>
        <v/>
      </c>
      <c r="M20" s="21">
        <f>IF($B20="","",IF($G20&lt;1,"A. Persiapan &amp; Proposal",IF($H20&lt;1,"B. Pelaksanaan Penelitian",IF($I20&lt;1,"C. Penulisan Naskah",IF($J20&lt;1,"D. Sidang Sarjana","Selesai")))))</f>
        <v/>
      </c>
      <c r="N20" s="20">
        <f>IF($B20="","",COUNTIF('Input Status'!D21:Z21,"Selesai")&amp;"/"&amp;23)</f>
        <v/>
      </c>
      <c r="O20" s="20">
        <f>IF($B20="","",COUNTIF('Input Status'!D21:Z21,"Terhambat"))</f>
        <v/>
      </c>
      <c r="P20" s="23">
        <f>IF(OR($B20="",$E20=""),"",$E20+('Input Status'!$X$5-1+'Input Status'!$X$6)*7)</f>
        <v/>
      </c>
      <c r="Q20" s="26">
        <f>IF($P20="","",$P20-TODAY())</f>
        <v/>
      </c>
      <c r="R20" s="20">
        <f>IF($B20="","",IF($F20&gt;=1,"Selesai",IF($K20="","Sesuai Jalur",IF($L20&lt;-Pengaturan!$B$15,"Tertinggal",IF(OR($O20&gt;0,$L20&lt;-Pengaturan!$B$14),"Perlu Perhatian","Sesuai Jalur")))))</f>
        <v/>
      </c>
      <c r="S20" s="22">
        <f>IF($B20="","",TRIM(IF($O20&gt;0,$O20&amp;" kegiatan terhambat. ","")&amp;IF(AND(ISNUMBER($Q20),$Q20&lt;=Pengaturan!$B$16,$Q20&gt;=0),"Sidang "&amp;TEXT($Q20,"0")&amp;" hari lagi. ","")&amp;IF($E20="","Tanggal SK belum diisi.","")))</f>
        <v/>
      </c>
    </row>
    <row r="21">
      <c r="A21" s="20">
        <f>'Data Mahasiswa'!A17</f>
        <v/>
      </c>
      <c r="B21" s="21">
        <f>IF('Data Mahasiswa'!B17="","",'Data Mahasiswa'!B17)</f>
        <v/>
      </c>
      <c r="C21" s="21">
        <f>IF($B21="","",'Data Mahasiswa'!C17)</f>
        <v/>
      </c>
      <c r="D21" s="22">
        <f>IF($B21="","",'Data Mahasiswa'!F17)</f>
        <v/>
      </c>
      <c r="E21" s="23">
        <f>IF($B21="","",IF('Data Mahasiswa'!H17="","",'Data Mahasiswa'!H17))</f>
        <v/>
      </c>
      <c r="F21" s="24">
        <f>IF($B21="","",SUMPRODUCT(BOBOT,IFERROR(VLOOKUP('Input Status'!D22:Z22,PETA,2,FALSE),0))/SUM(BOBOT))</f>
        <v/>
      </c>
      <c r="G21" s="24">
        <f>IF($B21="","",SUMPRODUCT(BOB_A,IFERROR(VLOOKUP('Input Status'!D22:J22,PETA,2,FALSE),0))/SUM(BOB_A))</f>
        <v/>
      </c>
      <c r="H21" s="24">
        <f>IF($B21="","",SUMPRODUCT(BOB_B,IFERROR(VLOOKUP('Input Status'!K22:N22,PETA,2,FALSE),0))/SUM(BOB_B))</f>
        <v/>
      </c>
      <c r="I21" s="24">
        <f>IF($B21="","",SUMPRODUCT(BOB_C,IFERROR(VLOOKUP('Input Status'!O22:T22,PETA,2,FALSE),0))/SUM(BOB_C))</f>
        <v/>
      </c>
      <c r="J21" s="24">
        <f>IF($B21="","",SUMPRODUCT(BOB_D,IFERROR(VLOOKUP('Input Status'!U22:Z22,PETA,2,FALSE),0))/SUM(BOB_D))</f>
        <v/>
      </c>
      <c r="K21" s="24">
        <f>IF(OR($B21="",$E21=""),"",SUMPRODUCT(BOBOT,((((TODAY()-$E21)/7-MULAI)/DURASI)&gt;=1)+((((TODAY()-$E21)/7-MULAI)/DURASI)&gt;0)*((((TODAY()-$E21)/7-MULAI)/DURASI)&lt;1)*(((TODAY()-$E21)/7-MULAI)/DURASI))/SUM(BOBOT))</f>
        <v/>
      </c>
      <c r="L21" s="25">
        <f>IF(OR($F21="",$K21=""),"",$F21-$K21)</f>
        <v/>
      </c>
      <c r="M21" s="21">
        <f>IF($B21="","",IF($G21&lt;1,"A. Persiapan &amp; Proposal",IF($H21&lt;1,"B. Pelaksanaan Penelitian",IF($I21&lt;1,"C. Penulisan Naskah",IF($J21&lt;1,"D. Sidang Sarjana","Selesai")))))</f>
        <v/>
      </c>
      <c r="N21" s="20">
        <f>IF($B21="","",COUNTIF('Input Status'!D22:Z22,"Selesai")&amp;"/"&amp;23)</f>
        <v/>
      </c>
      <c r="O21" s="20">
        <f>IF($B21="","",COUNTIF('Input Status'!D22:Z22,"Terhambat"))</f>
        <v/>
      </c>
      <c r="P21" s="23">
        <f>IF(OR($B21="",$E21=""),"",$E21+('Input Status'!$X$5-1+'Input Status'!$X$6)*7)</f>
        <v/>
      </c>
      <c r="Q21" s="26">
        <f>IF($P21="","",$P21-TODAY())</f>
        <v/>
      </c>
      <c r="R21" s="20">
        <f>IF($B21="","",IF($F21&gt;=1,"Selesai",IF($K21="","Sesuai Jalur",IF($L21&lt;-Pengaturan!$B$15,"Tertinggal",IF(OR($O21&gt;0,$L21&lt;-Pengaturan!$B$14),"Perlu Perhatian","Sesuai Jalur")))))</f>
        <v/>
      </c>
      <c r="S21" s="22">
        <f>IF($B21="","",TRIM(IF($O21&gt;0,$O21&amp;" kegiatan terhambat. ","")&amp;IF(AND(ISNUMBER($Q21),$Q21&lt;=Pengaturan!$B$16,$Q21&gt;=0),"Sidang "&amp;TEXT($Q21,"0")&amp;" hari lagi. ","")&amp;IF($E21="","Tanggal SK belum diisi.","")))</f>
        <v/>
      </c>
    </row>
    <row r="22">
      <c r="A22" s="20">
        <f>'Data Mahasiswa'!A18</f>
        <v/>
      </c>
      <c r="B22" s="21">
        <f>IF('Data Mahasiswa'!B18="","",'Data Mahasiswa'!B18)</f>
        <v/>
      </c>
      <c r="C22" s="21">
        <f>IF($B22="","",'Data Mahasiswa'!C18)</f>
        <v/>
      </c>
      <c r="D22" s="22">
        <f>IF($B22="","",'Data Mahasiswa'!F18)</f>
        <v/>
      </c>
      <c r="E22" s="23">
        <f>IF($B22="","",IF('Data Mahasiswa'!H18="","",'Data Mahasiswa'!H18))</f>
        <v/>
      </c>
      <c r="F22" s="24">
        <f>IF($B22="","",SUMPRODUCT(BOBOT,IFERROR(VLOOKUP('Input Status'!D23:Z23,PETA,2,FALSE),0))/SUM(BOBOT))</f>
        <v/>
      </c>
      <c r="G22" s="24">
        <f>IF($B22="","",SUMPRODUCT(BOB_A,IFERROR(VLOOKUP('Input Status'!D23:J23,PETA,2,FALSE),0))/SUM(BOB_A))</f>
        <v/>
      </c>
      <c r="H22" s="24">
        <f>IF($B22="","",SUMPRODUCT(BOB_B,IFERROR(VLOOKUP('Input Status'!K23:N23,PETA,2,FALSE),0))/SUM(BOB_B))</f>
        <v/>
      </c>
      <c r="I22" s="24">
        <f>IF($B22="","",SUMPRODUCT(BOB_C,IFERROR(VLOOKUP('Input Status'!O23:T23,PETA,2,FALSE),0))/SUM(BOB_C))</f>
        <v/>
      </c>
      <c r="J22" s="24">
        <f>IF($B22="","",SUMPRODUCT(BOB_D,IFERROR(VLOOKUP('Input Status'!U23:Z23,PETA,2,FALSE),0))/SUM(BOB_D))</f>
        <v/>
      </c>
      <c r="K22" s="24">
        <f>IF(OR($B22="",$E22=""),"",SUMPRODUCT(BOBOT,((((TODAY()-$E22)/7-MULAI)/DURASI)&gt;=1)+((((TODAY()-$E22)/7-MULAI)/DURASI)&gt;0)*((((TODAY()-$E22)/7-MULAI)/DURASI)&lt;1)*(((TODAY()-$E22)/7-MULAI)/DURASI))/SUM(BOBOT))</f>
        <v/>
      </c>
      <c r="L22" s="25">
        <f>IF(OR($F22="",$K22=""),"",$F22-$K22)</f>
        <v/>
      </c>
      <c r="M22" s="21">
        <f>IF($B22="","",IF($G22&lt;1,"A. Persiapan &amp; Proposal",IF($H22&lt;1,"B. Pelaksanaan Penelitian",IF($I22&lt;1,"C. Penulisan Naskah",IF($J22&lt;1,"D. Sidang Sarjana","Selesai")))))</f>
        <v/>
      </c>
      <c r="N22" s="20">
        <f>IF($B22="","",COUNTIF('Input Status'!D23:Z23,"Selesai")&amp;"/"&amp;23)</f>
        <v/>
      </c>
      <c r="O22" s="20">
        <f>IF($B22="","",COUNTIF('Input Status'!D23:Z23,"Terhambat"))</f>
        <v/>
      </c>
      <c r="P22" s="23">
        <f>IF(OR($B22="",$E22=""),"",$E22+('Input Status'!$X$5-1+'Input Status'!$X$6)*7)</f>
        <v/>
      </c>
      <c r="Q22" s="26">
        <f>IF($P22="","",$P22-TODAY())</f>
        <v/>
      </c>
      <c r="R22" s="20">
        <f>IF($B22="","",IF($F22&gt;=1,"Selesai",IF($K22="","Sesuai Jalur",IF($L22&lt;-Pengaturan!$B$15,"Tertinggal",IF(OR($O22&gt;0,$L22&lt;-Pengaturan!$B$14),"Perlu Perhatian","Sesuai Jalur")))))</f>
        <v/>
      </c>
      <c r="S22" s="22">
        <f>IF($B22="","",TRIM(IF($O22&gt;0,$O22&amp;" kegiatan terhambat. ","")&amp;IF(AND(ISNUMBER($Q22),$Q22&lt;=Pengaturan!$B$16,$Q22&gt;=0),"Sidang "&amp;TEXT($Q22,"0")&amp;" hari lagi. ","")&amp;IF($E22="","Tanggal SK belum diisi.","")))</f>
        <v/>
      </c>
    </row>
    <row r="23">
      <c r="A23" s="20">
        <f>'Data Mahasiswa'!A19</f>
        <v/>
      </c>
      <c r="B23" s="21">
        <f>IF('Data Mahasiswa'!B19="","",'Data Mahasiswa'!B19)</f>
        <v/>
      </c>
      <c r="C23" s="21">
        <f>IF($B23="","",'Data Mahasiswa'!C19)</f>
        <v/>
      </c>
      <c r="D23" s="22">
        <f>IF($B23="","",'Data Mahasiswa'!F19)</f>
        <v/>
      </c>
      <c r="E23" s="23">
        <f>IF($B23="","",IF('Data Mahasiswa'!H19="","",'Data Mahasiswa'!H19))</f>
        <v/>
      </c>
      <c r="F23" s="24">
        <f>IF($B23="","",SUMPRODUCT(BOBOT,IFERROR(VLOOKUP('Input Status'!D24:Z24,PETA,2,FALSE),0))/SUM(BOBOT))</f>
        <v/>
      </c>
      <c r="G23" s="24">
        <f>IF($B23="","",SUMPRODUCT(BOB_A,IFERROR(VLOOKUP('Input Status'!D24:J24,PETA,2,FALSE),0))/SUM(BOB_A))</f>
        <v/>
      </c>
      <c r="H23" s="24">
        <f>IF($B23="","",SUMPRODUCT(BOB_B,IFERROR(VLOOKUP('Input Status'!K24:N24,PETA,2,FALSE),0))/SUM(BOB_B))</f>
        <v/>
      </c>
      <c r="I23" s="24">
        <f>IF($B23="","",SUMPRODUCT(BOB_C,IFERROR(VLOOKUP('Input Status'!O24:T24,PETA,2,FALSE),0))/SUM(BOB_C))</f>
        <v/>
      </c>
      <c r="J23" s="24">
        <f>IF($B23="","",SUMPRODUCT(BOB_D,IFERROR(VLOOKUP('Input Status'!U24:Z24,PETA,2,FALSE),0))/SUM(BOB_D))</f>
        <v/>
      </c>
      <c r="K23" s="24">
        <f>IF(OR($B23="",$E23=""),"",SUMPRODUCT(BOBOT,((((TODAY()-$E23)/7-MULAI)/DURASI)&gt;=1)+((((TODAY()-$E23)/7-MULAI)/DURASI)&gt;0)*((((TODAY()-$E23)/7-MULAI)/DURASI)&lt;1)*(((TODAY()-$E23)/7-MULAI)/DURASI))/SUM(BOBOT))</f>
        <v/>
      </c>
      <c r="L23" s="25">
        <f>IF(OR($F23="",$K23=""),"",$F23-$K23)</f>
        <v/>
      </c>
      <c r="M23" s="21">
        <f>IF($B23="","",IF($G23&lt;1,"A. Persiapan &amp; Proposal",IF($H23&lt;1,"B. Pelaksanaan Penelitian",IF($I23&lt;1,"C. Penulisan Naskah",IF($J23&lt;1,"D. Sidang Sarjana","Selesai")))))</f>
        <v/>
      </c>
      <c r="N23" s="20">
        <f>IF($B23="","",COUNTIF('Input Status'!D24:Z24,"Selesai")&amp;"/"&amp;23)</f>
        <v/>
      </c>
      <c r="O23" s="20">
        <f>IF($B23="","",COUNTIF('Input Status'!D24:Z24,"Terhambat"))</f>
        <v/>
      </c>
      <c r="P23" s="23">
        <f>IF(OR($B23="",$E23=""),"",$E23+('Input Status'!$X$5-1+'Input Status'!$X$6)*7)</f>
        <v/>
      </c>
      <c r="Q23" s="26">
        <f>IF($P23="","",$P23-TODAY())</f>
        <v/>
      </c>
      <c r="R23" s="20">
        <f>IF($B23="","",IF($F23&gt;=1,"Selesai",IF($K23="","Sesuai Jalur",IF($L23&lt;-Pengaturan!$B$15,"Tertinggal",IF(OR($O23&gt;0,$L23&lt;-Pengaturan!$B$14),"Perlu Perhatian","Sesuai Jalur")))))</f>
        <v/>
      </c>
      <c r="S23" s="22">
        <f>IF($B23="","",TRIM(IF($O23&gt;0,$O23&amp;" kegiatan terhambat. ","")&amp;IF(AND(ISNUMBER($Q23),$Q23&lt;=Pengaturan!$B$16,$Q23&gt;=0),"Sidang "&amp;TEXT($Q23,"0")&amp;" hari lagi. ","")&amp;IF($E23="","Tanggal SK belum diisi.","")))</f>
        <v/>
      </c>
    </row>
    <row r="24">
      <c r="A24" s="20">
        <f>'Data Mahasiswa'!A20</f>
        <v/>
      </c>
      <c r="B24" s="21">
        <f>IF('Data Mahasiswa'!B20="","",'Data Mahasiswa'!B20)</f>
        <v/>
      </c>
      <c r="C24" s="21">
        <f>IF($B24="","",'Data Mahasiswa'!C20)</f>
        <v/>
      </c>
      <c r="D24" s="22">
        <f>IF($B24="","",'Data Mahasiswa'!F20)</f>
        <v/>
      </c>
      <c r="E24" s="23">
        <f>IF($B24="","",IF('Data Mahasiswa'!H20="","",'Data Mahasiswa'!H20))</f>
        <v/>
      </c>
      <c r="F24" s="24">
        <f>IF($B24="","",SUMPRODUCT(BOBOT,IFERROR(VLOOKUP('Input Status'!D25:Z25,PETA,2,FALSE),0))/SUM(BOBOT))</f>
        <v/>
      </c>
      <c r="G24" s="24">
        <f>IF($B24="","",SUMPRODUCT(BOB_A,IFERROR(VLOOKUP('Input Status'!D25:J25,PETA,2,FALSE),0))/SUM(BOB_A))</f>
        <v/>
      </c>
      <c r="H24" s="24">
        <f>IF($B24="","",SUMPRODUCT(BOB_B,IFERROR(VLOOKUP('Input Status'!K25:N25,PETA,2,FALSE),0))/SUM(BOB_B))</f>
        <v/>
      </c>
      <c r="I24" s="24">
        <f>IF($B24="","",SUMPRODUCT(BOB_C,IFERROR(VLOOKUP('Input Status'!O25:T25,PETA,2,FALSE),0))/SUM(BOB_C))</f>
        <v/>
      </c>
      <c r="J24" s="24">
        <f>IF($B24="","",SUMPRODUCT(BOB_D,IFERROR(VLOOKUP('Input Status'!U25:Z25,PETA,2,FALSE),0))/SUM(BOB_D))</f>
        <v/>
      </c>
      <c r="K24" s="24">
        <f>IF(OR($B24="",$E24=""),"",SUMPRODUCT(BOBOT,((((TODAY()-$E24)/7-MULAI)/DURASI)&gt;=1)+((((TODAY()-$E24)/7-MULAI)/DURASI)&gt;0)*((((TODAY()-$E24)/7-MULAI)/DURASI)&lt;1)*(((TODAY()-$E24)/7-MULAI)/DURASI))/SUM(BOBOT))</f>
        <v/>
      </c>
      <c r="L24" s="25">
        <f>IF(OR($F24="",$K24=""),"",$F24-$K24)</f>
        <v/>
      </c>
      <c r="M24" s="21">
        <f>IF($B24="","",IF($G24&lt;1,"A. Persiapan &amp; Proposal",IF($H24&lt;1,"B. Pelaksanaan Penelitian",IF($I24&lt;1,"C. Penulisan Naskah",IF($J24&lt;1,"D. Sidang Sarjana","Selesai")))))</f>
        <v/>
      </c>
      <c r="N24" s="20">
        <f>IF($B24="","",COUNTIF('Input Status'!D25:Z25,"Selesai")&amp;"/"&amp;23)</f>
        <v/>
      </c>
      <c r="O24" s="20">
        <f>IF($B24="","",COUNTIF('Input Status'!D25:Z25,"Terhambat"))</f>
        <v/>
      </c>
      <c r="P24" s="23">
        <f>IF(OR($B24="",$E24=""),"",$E24+('Input Status'!$X$5-1+'Input Status'!$X$6)*7)</f>
        <v/>
      </c>
      <c r="Q24" s="26">
        <f>IF($P24="","",$P24-TODAY())</f>
        <v/>
      </c>
      <c r="R24" s="20">
        <f>IF($B24="","",IF($F24&gt;=1,"Selesai",IF($K24="","Sesuai Jalur",IF($L24&lt;-Pengaturan!$B$15,"Tertinggal",IF(OR($O24&gt;0,$L24&lt;-Pengaturan!$B$14),"Perlu Perhatian","Sesuai Jalur")))))</f>
        <v/>
      </c>
      <c r="S24" s="22">
        <f>IF($B24="","",TRIM(IF($O24&gt;0,$O24&amp;" kegiatan terhambat. ","")&amp;IF(AND(ISNUMBER($Q24),$Q24&lt;=Pengaturan!$B$16,$Q24&gt;=0),"Sidang "&amp;TEXT($Q24,"0")&amp;" hari lagi. ","")&amp;IF($E24="","Tanggal SK belum diisi.","")))</f>
        <v/>
      </c>
    </row>
    <row r="25">
      <c r="A25" s="20">
        <f>'Data Mahasiswa'!A21</f>
        <v/>
      </c>
      <c r="B25" s="21">
        <f>IF('Data Mahasiswa'!B21="","",'Data Mahasiswa'!B21)</f>
        <v/>
      </c>
      <c r="C25" s="21">
        <f>IF($B25="","",'Data Mahasiswa'!C21)</f>
        <v/>
      </c>
      <c r="D25" s="22">
        <f>IF($B25="","",'Data Mahasiswa'!F21)</f>
        <v/>
      </c>
      <c r="E25" s="23">
        <f>IF($B25="","",IF('Data Mahasiswa'!H21="","",'Data Mahasiswa'!H21))</f>
        <v/>
      </c>
      <c r="F25" s="24">
        <f>IF($B25="","",SUMPRODUCT(BOBOT,IFERROR(VLOOKUP('Input Status'!D26:Z26,PETA,2,FALSE),0))/SUM(BOBOT))</f>
        <v/>
      </c>
      <c r="G25" s="24">
        <f>IF($B25="","",SUMPRODUCT(BOB_A,IFERROR(VLOOKUP('Input Status'!D26:J26,PETA,2,FALSE),0))/SUM(BOB_A))</f>
        <v/>
      </c>
      <c r="H25" s="24">
        <f>IF($B25="","",SUMPRODUCT(BOB_B,IFERROR(VLOOKUP('Input Status'!K26:N26,PETA,2,FALSE),0))/SUM(BOB_B))</f>
        <v/>
      </c>
      <c r="I25" s="24">
        <f>IF($B25="","",SUMPRODUCT(BOB_C,IFERROR(VLOOKUP('Input Status'!O26:T26,PETA,2,FALSE),0))/SUM(BOB_C))</f>
        <v/>
      </c>
      <c r="J25" s="24">
        <f>IF($B25="","",SUMPRODUCT(BOB_D,IFERROR(VLOOKUP('Input Status'!U26:Z26,PETA,2,FALSE),0))/SUM(BOB_D))</f>
        <v/>
      </c>
      <c r="K25" s="24">
        <f>IF(OR($B25="",$E25=""),"",SUMPRODUCT(BOBOT,((((TODAY()-$E25)/7-MULAI)/DURASI)&gt;=1)+((((TODAY()-$E25)/7-MULAI)/DURASI)&gt;0)*((((TODAY()-$E25)/7-MULAI)/DURASI)&lt;1)*(((TODAY()-$E25)/7-MULAI)/DURASI))/SUM(BOBOT))</f>
        <v/>
      </c>
      <c r="L25" s="25">
        <f>IF(OR($F25="",$K25=""),"",$F25-$K25)</f>
        <v/>
      </c>
      <c r="M25" s="21">
        <f>IF($B25="","",IF($G25&lt;1,"A. Persiapan &amp; Proposal",IF($H25&lt;1,"B. Pelaksanaan Penelitian",IF($I25&lt;1,"C. Penulisan Naskah",IF($J25&lt;1,"D. Sidang Sarjana","Selesai")))))</f>
        <v/>
      </c>
      <c r="N25" s="20">
        <f>IF($B25="","",COUNTIF('Input Status'!D26:Z26,"Selesai")&amp;"/"&amp;23)</f>
        <v/>
      </c>
      <c r="O25" s="20">
        <f>IF($B25="","",COUNTIF('Input Status'!D26:Z26,"Terhambat"))</f>
        <v/>
      </c>
      <c r="P25" s="23">
        <f>IF(OR($B25="",$E25=""),"",$E25+('Input Status'!$X$5-1+'Input Status'!$X$6)*7)</f>
        <v/>
      </c>
      <c r="Q25" s="26">
        <f>IF($P25="","",$P25-TODAY())</f>
        <v/>
      </c>
      <c r="R25" s="20">
        <f>IF($B25="","",IF($F25&gt;=1,"Selesai",IF($K25="","Sesuai Jalur",IF($L25&lt;-Pengaturan!$B$15,"Tertinggal",IF(OR($O25&gt;0,$L25&lt;-Pengaturan!$B$14),"Perlu Perhatian","Sesuai Jalur")))))</f>
        <v/>
      </c>
      <c r="S25" s="22">
        <f>IF($B25="","",TRIM(IF($O25&gt;0,$O25&amp;" kegiatan terhambat. ","")&amp;IF(AND(ISNUMBER($Q25),$Q25&lt;=Pengaturan!$B$16,$Q25&gt;=0),"Sidang "&amp;TEXT($Q25,"0")&amp;" hari lagi. ","")&amp;IF($E25="","Tanggal SK belum diisi.","")))</f>
        <v/>
      </c>
    </row>
    <row r="26">
      <c r="A26" s="20">
        <f>'Data Mahasiswa'!A22</f>
        <v/>
      </c>
      <c r="B26" s="21">
        <f>IF('Data Mahasiswa'!B22="","",'Data Mahasiswa'!B22)</f>
        <v/>
      </c>
      <c r="C26" s="21">
        <f>IF($B26="","",'Data Mahasiswa'!C22)</f>
        <v/>
      </c>
      <c r="D26" s="22">
        <f>IF($B26="","",'Data Mahasiswa'!F22)</f>
        <v/>
      </c>
      <c r="E26" s="23">
        <f>IF($B26="","",IF('Data Mahasiswa'!H22="","",'Data Mahasiswa'!H22))</f>
        <v/>
      </c>
      <c r="F26" s="24">
        <f>IF($B26="","",SUMPRODUCT(BOBOT,IFERROR(VLOOKUP('Input Status'!D27:Z27,PETA,2,FALSE),0))/SUM(BOBOT))</f>
        <v/>
      </c>
      <c r="G26" s="24">
        <f>IF($B26="","",SUMPRODUCT(BOB_A,IFERROR(VLOOKUP('Input Status'!D27:J27,PETA,2,FALSE),0))/SUM(BOB_A))</f>
        <v/>
      </c>
      <c r="H26" s="24">
        <f>IF($B26="","",SUMPRODUCT(BOB_B,IFERROR(VLOOKUP('Input Status'!K27:N27,PETA,2,FALSE),0))/SUM(BOB_B))</f>
        <v/>
      </c>
      <c r="I26" s="24">
        <f>IF($B26="","",SUMPRODUCT(BOB_C,IFERROR(VLOOKUP('Input Status'!O27:T27,PETA,2,FALSE),0))/SUM(BOB_C))</f>
        <v/>
      </c>
      <c r="J26" s="24">
        <f>IF($B26="","",SUMPRODUCT(BOB_D,IFERROR(VLOOKUP('Input Status'!U27:Z27,PETA,2,FALSE),0))/SUM(BOB_D))</f>
        <v/>
      </c>
      <c r="K26" s="24">
        <f>IF(OR($B26="",$E26=""),"",SUMPRODUCT(BOBOT,((((TODAY()-$E26)/7-MULAI)/DURASI)&gt;=1)+((((TODAY()-$E26)/7-MULAI)/DURASI)&gt;0)*((((TODAY()-$E26)/7-MULAI)/DURASI)&lt;1)*(((TODAY()-$E26)/7-MULAI)/DURASI))/SUM(BOBOT))</f>
        <v/>
      </c>
      <c r="L26" s="25">
        <f>IF(OR($F26="",$K26=""),"",$F26-$K26)</f>
        <v/>
      </c>
      <c r="M26" s="21">
        <f>IF($B26="","",IF($G26&lt;1,"A. Persiapan &amp; Proposal",IF($H26&lt;1,"B. Pelaksanaan Penelitian",IF($I26&lt;1,"C. Penulisan Naskah",IF($J26&lt;1,"D. Sidang Sarjana","Selesai")))))</f>
        <v/>
      </c>
      <c r="N26" s="20">
        <f>IF($B26="","",COUNTIF('Input Status'!D27:Z27,"Selesai")&amp;"/"&amp;23)</f>
        <v/>
      </c>
      <c r="O26" s="20">
        <f>IF($B26="","",COUNTIF('Input Status'!D27:Z27,"Terhambat"))</f>
        <v/>
      </c>
      <c r="P26" s="23">
        <f>IF(OR($B26="",$E26=""),"",$E26+('Input Status'!$X$5-1+'Input Status'!$X$6)*7)</f>
        <v/>
      </c>
      <c r="Q26" s="26">
        <f>IF($P26="","",$P26-TODAY())</f>
        <v/>
      </c>
      <c r="R26" s="20">
        <f>IF($B26="","",IF($F26&gt;=1,"Selesai",IF($K26="","Sesuai Jalur",IF($L26&lt;-Pengaturan!$B$15,"Tertinggal",IF(OR($O26&gt;0,$L26&lt;-Pengaturan!$B$14),"Perlu Perhatian","Sesuai Jalur")))))</f>
        <v/>
      </c>
      <c r="S26" s="22">
        <f>IF($B26="","",TRIM(IF($O26&gt;0,$O26&amp;" kegiatan terhambat. ","")&amp;IF(AND(ISNUMBER($Q26),$Q26&lt;=Pengaturan!$B$16,$Q26&gt;=0),"Sidang "&amp;TEXT($Q26,"0")&amp;" hari lagi. ","")&amp;IF($E26="","Tanggal SK belum diisi.","")))</f>
        <v/>
      </c>
    </row>
    <row r="27">
      <c r="A27" s="20">
        <f>'Data Mahasiswa'!A23</f>
        <v/>
      </c>
      <c r="B27" s="21">
        <f>IF('Data Mahasiswa'!B23="","",'Data Mahasiswa'!B23)</f>
        <v/>
      </c>
      <c r="C27" s="21">
        <f>IF($B27="","",'Data Mahasiswa'!C23)</f>
        <v/>
      </c>
      <c r="D27" s="22">
        <f>IF($B27="","",'Data Mahasiswa'!F23)</f>
        <v/>
      </c>
      <c r="E27" s="23">
        <f>IF($B27="","",IF('Data Mahasiswa'!H23="","",'Data Mahasiswa'!H23))</f>
        <v/>
      </c>
      <c r="F27" s="24">
        <f>IF($B27="","",SUMPRODUCT(BOBOT,IFERROR(VLOOKUP('Input Status'!D28:Z28,PETA,2,FALSE),0))/SUM(BOBOT))</f>
        <v/>
      </c>
      <c r="G27" s="24">
        <f>IF($B27="","",SUMPRODUCT(BOB_A,IFERROR(VLOOKUP('Input Status'!D28:J28,PETA,2,FALSE),0))/SUM(BOB_A))</f>
        <v/>
      </c>
      <c r="H27" s="24">
        <f>IF($B27="","",SUMPRODUCT(BOB_B,IFERROR(VLOOKUP('Input Status'!K28:N28,PETA,2,FALSE),0))/SUM(BOB_B))</f>
        <v/>
      </c>
      <c r="I27" s="24">
        <f>IF($B27="","",SUMPRODUCT(BOB_C,IFERROR(VLOOKUP('Input Status'!O28:T28,PETA,2,FALSE),0))/SUM(BOB_C))</f>
        <v/>
      </c>
      <c r="J27" s="24">
        <f>IF($B27="","",SUMPRODUCT(BOB_D,IFERROR(VLOOKUP('Input Status'!U28:Z28,PETA,2,FALSE),0))/SUM(BOB_D))</f>
        <v/>
      </c>
      <c r="K27" s="24">
        <f>IF(OR($B27="",$E27=""),"",SUMPRODUCT(BOBOT,((((TODAY()-$E27)/7-MULAI)/DURASI)&gt;=1)+((((TODAY()-$E27)/7-MULAI)/DURASI)&gt;0)*((((TODAY()-$E27)/7-MULAI)/DURASI)&lt;1)*(((TODAY()-$E27)/7-MULAI)/DURASI))/SUM(BOBOT))</f>
        <v/>
      </c>
      <c r="L27" s="25">
        <f>IF(OR($F27="",$K27=""),"",$F27-$K27)</f>
        <v/>
      </c>
      <c r="M27" s="21">
        <f>IF($B27="","",IF($G27&lt;1,"A. Persiapan &amp; Proposal",IF($H27&lt;1,"B. Pelaksanaan Penelitian",IF($I27&lt;1,"C. Penulisan Naskah",IF($J27&lt;1,"D. Sidang Sarjana","Selesai")))))</f>
        <v/>
      </c>
      <c r="N27" s="20">
        <f>IF($B27="","",COUNTIF('Input Status'!D28:Z28,"Selesai")&amp;"/"&amp;23)</f>
        <v/>
      </c>
      <c r="O27" s="20">
        <f>IF($B27="","",COUNTIF('Input Status'!D28:Z28,"Terhambat"))</f>
        <v/>
      </c>
      <c r="P27" s="23">
        <f>IF(OR($B27="",$E27=""),"",$E27+('Input Status'!$X$5-1+'Input Status'!$X$6)*7)</f>
        <v/>
      </c>
      <c r="Q27" s="26">
        <f>IF($P27="","",$P27-TODAY())</f>
        <v/>
      </c>
      <c r="R27" s="20">
        <f>IF($B27="","",IF($F27&gt;=1,"Selesai",IF($K27="","Sesuai Jalur",IF($L27&lt;-Pengaturan!$B$15,"Tertinggal",IF(OR($O27&gt;0,$L27&lt;-Pengaturan!$B$14),"Perlu Perhatian","Sesuai Jalur")))))</f>
        <v/>
      </c>
      <c r="S27" s="22">
        <f>IF($B27="","",TRIM(IF($O27&gt;0,$O27&amp;" kegiatan terhambat. ","")&amp;IF(AND(ISNUMBER($Q27),$Q27&lt;=Pengaturan!$B$16,$Q27&gt;=0),"Sidang "&amp;TEXT($Q27,"0")&amp;" hari lagi. ","")&amp;IF($E27="","Tanggal SK belum diisi.","")))</f>
        <v/>
      </c>
    </row>
    <row r="28">
      <c r="A28" s="20">
        <f>'Data Mahasiswa'!A24</f>
        <v/>
      </c>
      <c r="B28" s="21">
        <f>IF('Data Mahasiswa'!B24="","",'Data Mahasiswa'!B24)</f>
        <v/>
      </c>
      <c r="C28" s="21">
        <f>IF($B28="","",'Data Mahasiswa'!C24)</f>
        <v/>
      </c>
      <c r="D28" s="22">
        <f>IF($B28="","",'Data Mahasiswa'!F24)</f>
        <v/>
      </c>
      <c r="E28" s="23">
        <f>IF($B28="","",IF('Data Mahasiswa'!H24="","",'Data Mahasiswa'!H24))</f>
        <v/>
      </c>
      <c r="F28" s="24">
        <f>IF($B28="","",SUMPRODUCT(BOBOT,IFERROR(VLOOKUP('Input Status'!D29:Z29,PETA,2,FALSE),0))/SUM(BOBOT))</f>
        <v/>
      </c>
      <c r="G28" s="24">
        <f>IF($B28="","",SUMPRODUCT(BOB_A,IFERROR(VLOOKUP('Input Status'!D29:J29,PETA,2,FALSE),0))/SUM(BOB_A))</f>
        <v/>
      </c>
      <c r="H28" s="24">
        <f>IF($B28="","",SUMPRODUCT(BOB_B,IFERROR(VLOOKUP('Input Status'!K29:N29,PETA,2,FALSE),0))/SUM(BOB_B))</f>
        <v/>
      </c>
      <c r="I28" s="24">
        <f>IF($B28="","",SUMPRODUCT(BOB_C,IFERROR(VLOOKUP('Input Status'!O29:T29,PETA,2,FALSE),0))/SUM(BOB_C))</f>
        <v/>
      </c>
      <c r="J28" s="24">
        <f>IF($B28="","",SUMPRODUCT(BOB_D,IFERROR(VLOOKUP('Input Status'!U29:Z29,PETA,2,FALSE),0))/SUM(BOB_D))</f>
        <v/>
      </c>
      <c r="K28" s="24">
        <f>IF(OR($B28="",$E28=""),"",SUMPRODUCT(BOBOT,((((TODAY()-$E28)/7-MULAI)/DURASI)&gt;=1)+((((TODAY()-$E28)/7-MULAI)/DURASI)&gt;0)*((((TODAY()-$E28)/7-MULAI)/DURASI)&lt;1)*(((TODAY()-$E28)/7-MULAI)/DURASI))/SUM(BOBOT))</f>
        <v/>
      </c>
      <c r="L28" s="25">
        <f>IF(OR($F28="",$K28=""),"",$F28-$K28)</f>
        <v/>
      </c>
      <c r="M28" s="21">
        <f>IF($B28="","",IF($G28&lt;1,"A. Persiapan &amp; Proposal",IF($H28&lt;1,"B. Pelaksanaan Penelitian",IF($I28&lt;1,"C. Penulisan Naskah",IF($J28&lt;1,"D. Sidang Sarjana","Selesai")))))</f>
        <v/>
      </c>
      <c r="N28" s="20">
        <f>IF($B28="","",COUNTIF('Input Status'!D29:Z29,"Selesai")&amp;"/"&amp;23)</f>
        <v/>
      </c>
      <c r="O28" s="20">
        <f>IF($B28="","",COUNTIF('Input Status'!D29:Z29,"Terhambat"))</f>
        <v/>
      </c>
      <c r="P28" s="23">
        <f>IF(OR($B28="",$E28=""),"",$E28+('Input Status'!$X$5-1+'Input Status'!$X$6)*7)</f>
        <v/>
      </c>
      <c r="Q28" s="26">
        <f>IF($P28="","",$P28-TODAY())</f>
        <v/>
      </c>
      <c r="R28" s="20">
        <f>IF($B28="","",IF($F28&gt;=1,"Selesai",IF($K28="","Sesuai Jalur",IF($L28&lt;-Pengaturan!$B$15,"Tertinggal",IF(OR($O28&gt;0,$L28&lt;-Pengaturan!$B$14),"Perlu Perhatian","Sesuai Jalur")))))</f>
        <v/>
      </c>
      <c r="S28" s="22">
        <f>IF($B28="","",TRIM(IF($O28&gt;0,$O28&amp;" kegiatan terhambat. ","")&amp;IF(AND(ISNUMBER($Q28),$Q28&lt;=Pengaturan!$B$16,$Q28&gt;=0),"Sidang "&amp;TEXT($Q28,"0")&amp;" hari lagi. ","")&amp;IF($E28="","Tanggal SK belum diisi.","")))</f>
        <v/>
      </c>
    </row>
    <row r="29">
      <c r="A29" s="20">
        <f>'Data Mahasiswa'!A25</f>
        <v/>
      </c>
      <c r="B29" s="21">
        <f>IF('Data Mahasiswa'!B25="","",'Data Mahasiswa'!B25)</f>
        <v/>
      </c>
      <c r="C29" s="21">
        <f>IF($B29="","",'Data Mahasiswa'!C25)</f>
        <v/>
      </c>
      <c r="D29" s="22">
        <f>IF($B29="","",'Data Mahasiswa'!F25)</f>
        <v/>
      </c>
      <c r="E29" s="23">
        <f>IF($B29="","",IF('Data Mahasiswa'!H25="","",'Data Mahasiswa'!H25))</f>
        <v/>
      </c>
      <c r="F29" s="24">
        <f>IF($B29="","",SUMPRODUCT(BOBOT,IFERROR(VLOOKUP('Input Status'!D30:Z30,PETA,2,FALSE),0))/SUM(BOBOT))</f>
        <v/>
      </c>
      <c r="G29" s="24">
        <f>IF($B29="","",SUMPRODUCT(BOB_A,IFERROR(VLOOKUP('Input Status'!D30:J30,PETA,2,FALSE),0))/SUM(BOB_A))</f>
        <v/>
      </c>
      <c r="H29" s="24">
        <f>IF($B29="","",SUMPRODUCT(BOB_B,IFERROR(VLOOKUP('Input Status'!K30:N30,PETA,2,FALSE),0))/SUM(BOB_B))</f>
        <v/>
      </c>
      <c r="I29" s="24">
        <f>IF($B29="","",SUMPRODUCT(BOB_C,IFERROR(VLOOKUP('Input Status'!O30:T30,PETA,2,FALSE),0))/SUM(BOB_C))</f>
        <v/>
      </c>
      <c r="J29" s="24">
        <f>IF($B29="","",SUMPRODUCT(BOB_D,IFERROR(VLOOKUP('Input Status'!U30:Z30,PETA,2,FALSE),0))/SUM(BOB_D))</f>
        <v/>
      </c>
      <c r="K29" s="24">
        <f>IF(OR($B29="",$E29=""),"",SUMPRODUCT(BOBOT,((((TODAY()-$E29)/7-MULAI)/DURASI)&gt;=1)+((((TODAY()-$E29)/7-MULAI)/DURASI)&gt;0)*((((TODAY()-$E29)/7-MULAI)/DURASI)&lt;1)*(((TODAY()-$E29)/7-MULAI)/DURASI))/SUM(BOBOT))</f>
        <v/>
      </c>
      <c r="L29" s="25">
        <f>IF(OR($F29="",$K29=""),"",$F29-$K29)</f>
        <v/>
      </c>
      <c r="M29" s="21">
        <f>IF($B29="","",IF($G29&lt;1,"A. Persiapan &amp; Proposal",IF($H29&lt;1,"B. Pelaksanaan Penelitian",IF($I29&lt;1,"C. Penulisan Naskah",IF($J29&lt;1,"D. Sidang Sarjana","Selesai")))))</f>
        <v/>
      </c>
      <c r="N29" s="20">
        <f>IF($B29="","",COUNTIF('Input Status'!D30:Z30,"Selesai")&amp;"/"&amp;23)</f>
        <v/>
      </c>
      <c r="O29" s="20">
        <f>IF($B29="","",COUNTIF('Input Status'!D30:Z30,"Terhambat"))</f>
        <v/>
      </c>
      <c r="P29" s="23">
        <f>IF(OR($B29="",$E29=""),"",$E29+('Input Status'!$X$5-1+'Input Status'!$X$6)*7)</f>
        <v/>
      </c>
      <c r="Q29" s="26">
        <f>IF($P29="","",$P29-TODAY())</f>
        <v/>
      </c>
      <c r="R29" s="20">
        <f>IF($B29="","",IF($F29&gt;=1,"Selesai",IF($K29="","Sesuai Jalur",IF($L29&lt;-Pengaturan!$B$15,"Tertinggal",IF(OR($O29&gt;0,$L29&lt;-Pengaturan!$B$14),"Perlu Perhatian","Sesuai Jalur")))))</f>
        <v/>
      </c>
      <c r="S29" s="22">
        <f>IF($B29="","",TRIM(IF($O29&gt;0,$O29&amp;" kegiatan terhambat. ","")&amp;IF(AND(ISNUMBER($Q29),$Q29&lt;=Pengaturan!$B$16,$Q29&gt;=0),"Sidang "&amp;TEXT($Q29,"0")&amp;" hari lagi. ","")&amp;IF($E29="","Tanggal SK belum diisi.","")))</f>
        <v/>
      </c>
    </row>
    <row r="30">
      <c r="A30" s="20">
        <f>'Data Mahasiswa'!A26</f>
        <v/>
      </c>
      <c r="B30" s="21">
        <f>IF('Data Mahasiswa'!B26="","",'Data Mahasiswa'!B26)</f>
        <v/>
      </c>
      <c r="C30" s="21">
        <f>IF($B30="","",'Data Mahasiswa'!C26)</f>
        <v/>
      </c>
      <c r="D30" s="22">
        <f>IF($B30="","",'Data Mahasiswa'!F26)</f>
        <v/>
      </c>
      <c r="E30" s="23">
        <f>IF($B30="","",IF('Data Mahasiswa'!H26="","",'Data Mahasiswa'!H26))</f>
        <v/>
      </c>
      <c r="F30" s="24">
        <f>IF($B30="","",SUMPRODUCT(BOBOT,IFERROR(VLOOKUP('Input Status'!D31:Z31,PETA,2,FALSE),0))/SUM(BOBOT))</f>
        <v/>
      </c>
      <c r="G30" s="24">
        <f>IF($B30="","",SUMPRODUCT(BOB_A,IFERROR(VLOOKUP('Input Status'!D31:J31,PETA,2,FALSE),0))/SUM(BOB_A))</f>
        <v/>
      </c>
      <c r="H30" s="24">
        <f>IF($B30="","",SUMPRODUCT(BOB_B,IFERROR(VLOOKUP('Input Status'!K31:N31,PETA,2,FALSE),0))/SUM(BOB_B))</f>
        <v/>
      </c>
      <c r="I30" s="24">
        <f>IF($B30="","",SUMPRODUCT(BOB_C,IFERROR(VLOOKUP('Input Status'!O31:T31,PETA,2,FALSE),0))/SUM(BOB_C))</f>
        <v/>
      </c>
      <c r="J30" s="24">
        <f>IF($B30="","",SUMPRODUCT(BOB_D,IFERROR(VLOOKUP('Input Status'!U31:Z31,PETA,2,FALSE),0))/SUM(BOB_D))</f>
        <v/>
      </c>
      <c r="K30" s="24">
        <f>IF(OR($B30="",$E30=""),"",SUMPRODUCT(BOBOT,((((TODAY()-$E30)/7-MULAI)/DURASI)&gt;=1)+((((TODAY()-$E30)/7-MULAI)/DURASI)&gt;0)*((((TODAY()-$E30)/7-MULAI)/DURASI)&lt;1)*(((TODAY()-$E30)/7-MULAI)/DURASI))/SUM(BOBOT))</f>
        <v/>
      </c>
      <c r="L30" s="25">
        <f>IF(OR($F30="",$K30=""),"",$F30-$K30)</f>
        <v/>
      </c>
      <c r="M30" s="21">
        <f>IF($B30="","",IF($G30&lt;1,"A. Persiapan &amp; Proposal",IF($H30&lt;1,"B. Pelaksanaan Penelitian",IF($I30&lt;1,"C. Penulisan Naskah",IF($J30&lt;1,"D. Sidang Sarjana","Selesai")))))</f>
        <v/>
      </c>
      <c r="N30" s="20">
        <f>IF($B30="","",COUNTIF('Input Status'!D31:Z31,"Selesai")&amp;"/"&amp;23)</f>
        <v/>
      </c>
      <c r="O30" s="20">
        <f>IF($B30="","",COUNTIF('Input Status'!D31:Z31,"Terhambat"))</f>
        <v/>
      </c>
      <c r="P30" s="23">
        <f>IF(OR($B30="",$E30=""),"",$E30+('Input Status'!$X$5-1+'Input Status'!$X$6)*7)</f>
        <v/>
      </c>
      <c r="Q30" s="26">
        <f>IF($P30="","",$P30-TODAY())</f>
        <v/>
      </c>
      <c r="R30" s="20">
        <f>IF($B30="","",IF($F30&gt;=1,"Selesai",IF($K30="","Sesuai Jalur",IF($L30&lt;-Pengaturan!$B$15,"Tertinggal",IF(OR($O30&gt;0,$L30&lt;-Pengaturan!$B$14),"Perlu Perhatian","Sesuai Jalur")))))</f>
        <v/>
      </c>
      <c r="S30" s="22">
        <f>IF($B30="","",TRIM(IF($O30&gt;0,$O30&amp;" kegiatan terhambat. ","")&amp;IF(AND(ISNUMBER($Q30),$Q30&lt;=Pengaturan!$B$16,$Q30&gt;=0),"Sidang "&amp;TEXT($Q30,"0")&amp;" hari lagi. ","")&amp;IF($E30="","Tanggal SK belum diisi.","")))</f>
        <v/>
      </c>
    </row>
    <row r="31">
      <c r="A31" s="20">
        <f>'Data Mahasiswa'!A27</f>
        <v/>
      </c>
      <c r="B31" s="21">
        <f>IF('Data Mahasiswa'!B27="","",'Data Mahasiswa'!B27)</f>
        <v/>
      </c>
      <c r="C31" s="21">
        <f>IF($B31="","",'Data Mahasiswa'!C27)</f>
        <v/>
      </c>
      <c r="D31" s="22">
        <f>IF($B31="","",'Data Mahasiswa'!F27)</f>
        <v/>
      </c>
      <c r="E31" s="23">
        <f>IF($B31="","",IF('Data Mahasiswa'!H27="","",'Data Mahasiswa'!H27))</f>
        <v/>
      </c>
      <c r="F31" s="24">
        <f>IF($B31="","",SUMPRODUCT(BOBOT,IFERROR(VLOOKUP('Input Status'!D32:Z32,PETA,2,FALSE),0))/SUM(BOBOT))</f>
        <v/>
      </c>
      <c r="G31" s="24">
        <f>IF($B31="","",SUMPRODUCT(BOB_A,IFERROR(VLOOKUP('Input Status'!D32:J32,PETA,2,FALSE),0))/SUM(BOB_A))</f>
        <v/>
      </c>
      <c r="H31" s="24">
        <f>IF($B31="","",SUMPRODUCT(BOB_B,IFERROR(VLOOKUP('Input Status'!K32:N32,PETA,2,FALSE),0))/SUM(BOB_B))</f>
        <v/>
      </c>
      <c r="I31" s="24">
        <f>IF($B31="","",SUMPRODUCT(BOB_C,IFERROR(VLOOKUP('Input Status'!O32:T32,PETA,2,FALSE),0))/SUM(BOB_C))</f>
        <v/>
      </c>
      <c r="J31" s="24">
        <f>IF($B31="","",SUMPRODUCT(BOB_D,IFERROR(VLOOKUP('Input Status'!U32:Z32,PETA,2,FALSE),0))/SUM(BOB_D))</f>
        <v/>
      </c>
      <c r="K31" s="24">
        <f>IF(OR($B31="",$E31=""),"",SUMPRODUCT(BOBOT,((((TODAY()-$E31)/7-MULAI)/DURASI)&gt;=1)+((((TODAY()-$E31)/7-MULAI)/DURASI)&gt;0)*((((TODAY()-$E31)/7-MULAI)/DURASI)&lt;1)*(((TODAY()-$E31)/7-MULAI)/DURASI))/SUM(BOBOT))</f>
        <v/>
      </c>
      <c r="L31" s="25">
        <f>IF(OR($F31="",$K31=""),"",$F31-$K31)</f>
        <v/>
      </c>
      <c r="M31" s="21">
        <f>IF($B31="","",IF($G31&lt;1,"A. Persiapan &amp; Proposal",IF($H31&lt;1,"B. Pelaksanaan Penelitian",IF($I31&lt;1,"C. Penulisan Naskah",IF($J31&lt;1,"D. Sidang Sarjana","Selesai")))))</f>
        <v/>
      </c>
      <c r="N31" s="20">
        <f>IF($B31="","",COUNTIF('Input Status'!D32:Z32,"Selesai")&amp;"/"&amp;23)</f>
        <v/>
      </c>
      <c r="O31" s="20">
        <f>IF($B31="","",COUNTIF('Input Status'!D32:Z32,"Terhambat"))</f>
        <v/>
      </c>
      <c r="P31" s="23">
        <f>IF(OR($B31="",$E31=""),"",$E31+('Input Status'!$X$5-1+'Input Status'!$X$6)*7)</f>
        <v/>
      </c>
      <c r="Q31" s="26">
        <f>IF($P31="","",$P31-TODAY())</f>
        <v/>
      </c>
      <c r="R31" s="20">
        <f>IF($B31="","",IF($F31&gt;=1,"Selesai",IF($K31="","Sesuai Jalur",IF($L31&lt;-Pengaturan!$B$15,"Tertinggal",IF(OR($O31&gt;0,$L31&lt;-Pengaturan!$B$14),"Perlu Perhatian","Sesuai Jalur")))))</f>
        <v/>
      </c>
      <c r="S31" s="22">
        <f>IF($B31="","",TRIM(IF($O31&gt;0,$O31&amp;" kegiatan terhambat. ","")&amp;IF(AND(ISNUMBER($Q31),$Q31&lt;=Pengaturan!$B$16,$Q31&gt;=0),"Sidang "&amp;TEXT($Q31,"0")&amp;" hari lagi. ","")&amp;IF($E31="","Tanggal SK belum diisi.","")))</f>
        <v/>
      </c>
    </row>
    <row r="32">
      <c r="A32" s="20">
        <f>'Data Mahasiswa'!A28</f>
        <v/>
      </c>
      <c r="B32" s="21">
        <f>IF('Data Mahasiswa'!B28="","",'Data Mahasiswa'!B28)</f>
        <v/>
      </c>
      <c r="C32" s="21">
        <f>IF($B32="","",'Data Mahasiswa'!C28)</f>
        <v/>
      </c>
      <c r="D32" s="22">
        <f>IF($B32="","",'Data Mahasiswa'!F28)</f>
        <v/>
      </c>
      <c r="E32" s="23">
        <f>IF($B32="","",IF('Data Mahasiswa'!H28="","",'Data Mahasiswa'!H28))</f>
        <v/>
      </c>
      <c r="F32" s="24">
        <f>IF($B32="","",SUMPRODUCT(BOBOT,IFERROR(VLOOKUP('Input Status'!D33:Z33,PETA,2,FALSE),0))/SUM(BOBOT))</f>
        <v/>
      </c>
      <c r="G32" s="24">
        <f>IF($B32="","",SUMPRODUCT(BOB_A,IFERROR(VLOOKUP('Input Status'!D33:J33,PETA,2,FALSE),0))/SUM(BOB_A))</f>
        <v/>
      </c>
      <c r="H32" s="24">
        <f>IF($B32="","",SUMPRODUCT(BOB_B,IFERROR(VLOOKUP('Input Status'!K33:N33,PETA,2,FALSE),0))/SUM(BOB_B))</f>
        <v/>
      </c>
      <c r="I32" s="24">
        <f>IF($B32="","",SUMPRODUCT(BOB_C,IFERROR(VLOOKUP('Input Status'!O33:T33,PETA,2,FALSE),0))/SUM(BOB_C))</f>
        <v/>
      </c>
      <c r="J32" s="24">
        <f>IF($B32="","",SUMPRODUCT(BOB_D,IFERROR(VLOOKUP('Input Status'!U33:Z33,PETA,2,FALSE),0))/SUM(BOB_D))</f>
        <v/>
      </c>
      <c r="K32" s="24">
        <f>IF(OR($B32="",$E32=""),"",SUMPRODUCT(BOBOT,((((TODAY()-$E32)/7-MULAI)/DURASI)&gt;=1)+((((TODAY()-$E32)/7-MULAI)/DURASI)&gt;0)*((((TODAY()-$E32)/7-MULAI)/DURASI)&lt;1)*(((TODAY()-$E32)/7-MULAI)/DURASI))/SUM(BOBOT))</f>
        <v/>
      </c>
      <c r="L32" s="25">
        <f>IF(OR($F32="",$K32=""),"",$F32-$K32)</f>
        <v/>
      </c>
      <c r="M32" s="21">
        <f>IF($B32="","",IF($G32&lt;1,"A. Persiapan &amp; Proposal",IF($H32&lt;1,"B. Pelaksanaan Penelitian",IF($I32&lt;1,"C. Penulisan Naskah",IF($J32&lt;1,"D. Sidang Sarjana","Selesai")))))</f>
        <v/>
      </c>
      <c r="N32" s="20">
        <f>IF($B32="","",COUNTIF('Input Status'!D33:Z33,"Selesai")&amp;"/"&amp;23)</f>
        <v/>
      </c>
      <c r="O32" s="20">
        <f>IF($B32="","",COUNTIF('Input Status'!D33:Z33,"Terhambat"))</f>
        <v/>
      </c>
      <c r="P32" s="23">
        <f>IF(OR($B32="",$E32=""),"",$E32+('Input Status'!$X$5-1+'Input Status'!$X$6)*7)</f>
        <v/>
      </c>
      <c r="Q32" s="26">
        <f>IF($P32="","",$P32-TODAY())</f>
        <v/>
      </c>
      <c r="R32" s="20">
        <f>IF($B32="","",IF($F32&gt;=1,"Selesai",IF($K32="","Sesuai Jalur",IF($L32&lt;-Pengaturan!$B$15,"Tertinggal",IF(OR($O32&gt;0,$L32&lt;-Pengaturan!$B$14),"Perlu Perhatian","Sesuai Jalur")))))</f>
        <v/>
      </c>
      <c r="S32" s="22">
        <f>IF($B32="","",TRIM(IF($O32&gt;0,$O32&amp;" kegiatan terhambat. ","")&amp;IF(AND(ISNUMBER($Q32),$Q32&lt;=Pengaturan!$B$16,$Q32&gt;=0),"Sidang "&amp;TEXT($Q32,"0")&amp;" hari lagi. ","")&amp;IF($E32="","Tanggal SK belum diisi.","")))</f>
        <v/>
      </c>
    </row>
  </sheetData>
  <autoFilter ref="A7:S32"/>
  <conditionalFormatting sqref="R8:R32">
    <cfRule type="cellIs" priority="1" operator="equal" dxfId="0">
      <formula>"Selesai"</formula>
    </cfRule>
    <cfRule type="cellIs" priority="2" operator="equal" dxfId="2">
      <formula>"Sesuai Jalur"</formula>
    </cfRule>
    <cfRule type="cellIs" priority="3" operator="equal" dxfId="3">
      <formula>"Perlu Perhatian"</formula>
    </cfRule>
    <cfRule type="cellIs" priority="4" operator="equal" dxfId="4">
      <formula>"Tertinggal"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50" customWidth="1" min="4" max="4"/>
    <col width="11" customWidth="1" min="5" max="5"/>
    <col width="20" customWidth="1" min="6" max="6"/>
    <col width="22" customWidth="1" min="7" max="7"/>
    <col width="20" customWidth="1" min="8" max="8"/>
    <col width="18" customWidth="1" min="9" max="9"/>
    <col width="18" customWidth="1" min="10" max="10"/>
  </cols>
  <sheetData>
    <row r="1" ht="34" customHeight="1">
      <c r="A1" s="4" t="inlineStr">
        <is>
          <t>Nama</t>
        </is>
      </c>
      <c r="B1" s="4" t="inlineStr">
        <is>
          <t>NIM</t>
        </is>
      </c>
      <c r="C1" s="4" t="inlineStr">
        <is>
          <t>Pembimbing</t>
        </is>
      </c>
      <c r="D1" s="4" t="inlineStr">
        <is>
          <t>Topik</t>
        </is>
      </c>
      <c r="E1" s="4" t="inlineStr">
        <is>
          <t>Tampilkan</t>
        </is>
      </c>
      <c r="F1" s="27" t="inlineStr">
        <is>
          <t>A. Persiapan &amp; Proposal</t>
        </is>
      </c>
      <c r="G1" s="27" t="inlineStr">
        <is>
          <t>B. Pelaksanaan Penelitian</t>
        </is>
      </c>
      <c r="H1" s="27" t="inlineStr">
        <is>
          <t>C. Penulisan &amp; Bimbingan Naskah</t>
        </is>
      </c>
      <c r="I1" s="27" t="inlineStr">
        <is>
          <t>D. Sidang Sarjana</t>
        </is>
      </c>
      <c r="J1" s="27" t="inlineStr">
        <is>
          <t>Pengolahan Data</t>
        </is>
      </c>
    </row>
    <row r="2">
      <c r="A2" s="14">
        <f>IF('Data Mahasiswa'!B4="","",'Data Mahasiswa'!B4)</f>
        <v/>
      </c>
      <c r="B2" s="14">
        <f>IF($A2="","",'Data Mahasiswa'!C4)</f>
        <v/>
      </c>
      <c r="C2" s="14">
        <f>IF($A2="","",'Data Mahasiswa'!F4)</f>
        <v/>
      </c>
      <c r="D2" s="14">
        <f>IF($A2="","",'Data Mahasiswa'!E4)</f>
        <v/>
      </c>
      <c r="E2" s="28">
        <f>IF($A2="","","y")</f>
        <v/>
      </c>
      <c r="F2" s="28">
        <f>IF($A2="","",IF(COUNTIF('Input Status'!D9:J9,"Terhambat")&gt;0,"Terhambat ","")&amp;TEXT('Laporan Progres'!G8,"0%"))</f>
        <v/>
      </c>
      <c r="G2" s="28">
        <f>IF($A2="","",IF(COUNTIF('Input Status'!K9:N9,"Terhambat")&gt;0,"Terhambat ","")&amp;TEXT('Laporan Progres'!H8,"0%"))</f>
        <v/>
      </c>
      <c r="H2" s="28">
        <f>IF($A2="","",IF(COUNTIF('Input Status'!O9:T9,"Terhambat")&gt;0,"Terhambat ","")&amp;TEXT('Laporan Progres'!I8,"0%"))</f>
        <v/>
      </c>
      <c r="I2" s="28">
        <f>IF($A2="","",IF(COUNTIF('Input Status'!U9:Z9,"Terhambat")&gt;0,"Terhambat ","")&amp;TEXT('Laporan Progres'!J8,"0%"))</f>
        <v/>
      </c>
      <c r="J2" s="28">
        <f>IF($A2="","",IF('Input Status'!M9="","",IF('Input Status'!M9="Terhambat","Terhambat ","")&amp;TEXT(IFERROR(VLOOKUP('Input Status'!M9,Pengaturan!$A$6:$B$10,2,FALSE),0),"0%")))</f>
        <v/>
      </c>
    </row>
    <row r="3">
      <c r="A3" s="14">
        <f>IF('Data Mahasiswa'!B5="","",'Data Mahasiswa'!B5)</f>
        <v/>
      </c>
      <c r="B3" s="14">
        <f>IF($A3="","",'Data Mahasiswa'!C5)</f>
        <v/>
      </c>
      <c r="C3" s="14">
        <f>IF($A3="","",'Data Mahasiswa'!F5)</f>
        <v/>
      </c>
      <c r="D3" s="14">
        <f>IF($A3="","",'Data Mahasiswa'!E5)</f>
        <v/>
      </c>
      <c r="E3" s="28">
        <f>IF($A3="","","y")</f>
        <v/>
      </c>
      <c r="F3" s="28">
        <f>IF($A3="","",IF(COUNTIF('Input Status'!D10:J10,"Terhambat")&gt;0,"Terhambat ","")&amp;TEXT('Laporan Progres'!G9,"0%"))</f>
        <v/>
      </c>
      <c r="G3" s="28">
        <f>IF($A3="","",IF(COUNTIF('Input Status'!K10:N10,"Terhambat")&gt;0,"Terhambat ","")&amp;TEXT('Laporan Progres'!H9,"0%"))</f>
        <v/>
      </c>
      <c r="H3" s="28">
        <f>IF($A3="","",IF(COUNTIF('Input Status'!O10:T10,"Terhambat")&gt;0,"Terhambat ","")&amp;TEXT('Laporan Progres'!I9,"0%"))</f>
        <v/>
      </c>
      <c r="I3" s="28">
        <f>IF($A3="","",IF(COUNTIF('Input Status'!U10:Z10,"Terhambat")&gt;0,"Terhambat ","")&amp;TEXT('Laporan Progres'!J9,"0%"))</f>
        <v/>
      </c>
      <c r="J3" s="28">
        <f>IF($A3="","",IF('Input Status'!M10="","",IF('Input Status'!M10="Terhambat","Terhambat ","")&amp;TEXT(IFERROR(VLOOKUP('Input Status'!M10,Pengaturan!$A$6:$B$10,2,FALSE),0),"0%")))</f>
        <v/>
      </c>
    </row>
    <row r="4">
      <c r="A4" s="14">
        <f>IF('Data Mahasiswa'!B6="","",'Data Mahasiswa'!B6)</f>
        <v/>
      </c>
      <c r="B4" s="14">
        <f>IF($A4="","",'Data Mahasiswa'!C6)</f>
        <v/>
      </c>
      <c r="C4" s="14">
        <f>IF($A4="","",'Data Mahasiswa'!F6)</f>
        <v/>
      </c>
      <c r="D4" s="14">
        <f>IF($A4="","",'Data Mahasiswa'!E6)</f>
        <v/>
      </c>
      <c r="E4" s="28">
        <f>IF($A4="","","y")</f>
        <v/>
      </c>
      <c r="F4" s="28">
        <f>IF($A4="","",IF(COUNTIF('Input Status'!D11:J11,"Terhambat")&gt;0,"Terhambat ","")&amp;TEXT('Laporan Progres'!G10,"0%"))</f>
        <v/>
      </c>
      <c r="G4" s="28">
        <f>IF($A4="","",IF(COUNTIF('Input Status'!K11:N11,"Terhambat")&gt;0,"Terhambat ","")&amp;TEXT('Laporan Progres'!H10,"0%"))</f>
        <v/>
      </c>
      <c r="H4" s="28">
        <f>IF($A4="","",IF(COUNTIF('Input Status'!O11:T11,"Terhambat")&gt;0,"Terhambat ","")&amp;TEXT('Laporan Progres'!I10,"0%"))</f>
        <v/>
      </c>
      <c r="I4" s="28">
        <f>IF($A4="","",IF(COUNTIF('Input Status'!U11:Z11,"Terhambat")&gt;0,"Terhambat ","")&amp;TEXT('Laporan Progres'!J10,"0%"))</f>
        <v/>
      </c>
      <c r="J4" s="28">
        <f>IF($A4="","",IF('Input Status'!M11="","",IF('Input Status'!M11="Terhambat","Terhambat ","")&amp;TEXT(IFERROR(VLOOKUP('Input Status'!M11,Pengaturan!$A$6:$B$10,2,FALSE),0),"0%")))</f>
        <v/>
      </c>
    </row>
    <row r="5">
      <c r="A5" s="14">
        <f>IF('Data Mahasiswa'!B7="","",'Data Mahasiswa'!B7)</f>
        <v/>
      </c>
      <c r="B5" s="14">
        <f>IF($A5="","",'Data Mahasiswa'!C7)</f>
        <v/>
      </c>
      <c r="C5" s="14">
        <f>IF($A5="","",'Data Mahasiswa'!F7)</f>
        <v/>
      </c>
      <c r="D5" s="14">
        <f>IF($A5="","",'Data Mahasiswa'!E7)</f>
        <v/>
      </c>
      <c r="E5" s="28">
        <f>IF($A5="","","y")</f>
        <v/>
      </c>
      <c r="F5" s="28">
        <f>IF($A5="","",IF(COUNTIF('Input Status'!D12:J12,"Terhambat")&gt;0,"Terhambat ","")&amp;TEXT('Laporan Progres'!G11,"0%"))</f>
        <v/>
      </c>
      <c r="G5" s="28">
        <f>IF($A5="","",IF(COUNTIF('Input Status'!K12:N12,"Terhambat")&gt;0,"Terhambat ","")&amp;TEXT('Laporan Progres'!H11,"0%"))</f>
        <v/>
      </c>
      <c r="H5" s="28">
        <f>IF($A5="","",IF(COUNTIF('Input Status'!O12:T12,"Terhambat")&gt;0,"Terhambat ","")&amp;TEXT('Laporan Progres'!I11,"0%"))</f>
        <v/>
      </c>
      <c r="I5" s="28">
        <f>IF($A5="","",IF(COUNTIF('Input Status'!U12:Z12,"Terhambat")&gt;0,"Terhambat ","")&amp;TEXT('Laporan Progres'!J11,"0%"))</f>
        <v/>
      </c>
      <c r="J5" s="28">
        <f>IF($A5="","",IF('Input Status'!M12="","",IF('Input Status'!M12="Terhambat","Terhambat ","")&amp;TEXT(IFERROR(VLOOKUP('Input Status'!M12,Pengaturan!$A$6:$B$10,2,FALSE),0),"0%")))</f>
        <v/>
      </c>
    </row>
    <row r="6">
      <c r="A6" s="14">
        <f>IF('Data Mahasiswa'!B8="","",'Data Mahasiswa'!B8)</f>
        <v/>
      </c>
      <c r="B6" s="14">
        <f>IF($A6="","",'Data Mahasiswa'!C8)</f>
        <v/>
      </c>
      <c r="C6" s="14">
        <f>IF($A6="","",'Data Mahasiswa'!F8)</f>
        <v/>
      </c>
      <c r="D6" s="14">
        <f>IF($A6="","",'Data Mahasiswa'!E8)</f>
        <v/>
      </c>
      <c r="E6" s="28">
        <f>IF($A6="","","y")</f>
        <v/>
      </c>
      <c r="F6" s="28">
        <f>IF($A6="","",IF(COUNTIF('Input Status'!D13:J13,"Terhambat")&gt;0,"Terhambat ","")&amp;TEXT('Laporan Progres'!G12,"0%"))</f>
        <v/>
      </c>
      <c r="G6" s="28">
        <f>IF($A6="","",IF(COUNTIF('Input Status'!K13:N13,"Terhambat")&gt;0,"Terhambat ","")&amp;TEXT('Laporan Progres'!H12,"0%"))</f>
        <v/>
      </c>
      <c r="H6" s="28">
        <f>IF($A6="","",IF(COUNTIF('Input Status'!O13:T13,"Terhambat")&gt;0,"Terhambat ","")&amp;TEXT('Laporan Progres'!I12,"0%"))</f>
        <v/>
      </c>
      <c r="I6" s="28">
        <f>IF($A6="","",IF(COUNTIF('Input Status'!U13:Z13,"Terhambat")&gt;0,"Terhambat ","")&amp;TEXT('Laporan Progres'!J12,"0%"))</f>
        <v/>
      </c>
      <c r="J6" s="28">
        <f>IF($A6="","",IF('Input Status'!M13="","",IF('Input Status'!M13="Terhambat","Terhambat ","")&amp;TEXT(IFERROR(VLOOKUP('Input Status'!M13,Pengaturan!$A$6:$B$10,2,FALSE),0),"0%")))</f>
        <v/>
      </c>
    </row>
    <row r="7">
      <c r="A7" s="14">
        <f>IF('Data Mahasiswa'!B9="","",'Data Mahasiswa'!B9)</f>
        <v/>
      </c>
      <c r="B7" s="14">
        <f>IF($A7="","",'Data Mahasiswa'!C9)</f>
        <v/>
      </c>
      <c r="C7" s="14">
        <f>IF($A7="","",'Data Mahasiswa'!F9)</f>
        <v/>
      </c>
      <c r="D7" s="14">
        <f>IF($A7="","",'Data Mahasiswa'!E9)</f>
        <v/>
      </c>
      <c r="E7" s="28">
        <f>IF($A7="","","y")</f>
        <v/>
      </c>
      <c r="F7" s="28">
        <f>IF($A7="","",IF(COUNTIF('Input Status'!D14:J14,"Terhambat")&gt;0,"Terhambat ","")&amp;TEXT('Laporan Progres'!G13,"0%"))</f>
        <v/>
      </c>
      <c r="G7" s="28">
        <f>IF($A7="","",IF(COUNTIF('Input Status'!K14:N14,"Terhambat")&gt;0,"Terhambat ","")&amp;TEXT('Laporan Progres'!H13,"0%"))</f>
        <v/>
      </c>
      <c r="H7" s="28">
        <f>IF($A7="","",IF(COUNTIF('Input Status'!O14:T14,"Terhambat")&gt;0,"Terhambat ","")&amp;TEXT('Laporan Progres'!I13,"0%"))</f>
        <v/>
      </c>
      <c r="I7" s="28">
        <f>IF($A7="","",IF(COUNTIF('Input Status'!U14:Z14,"Terhambat")&gt;0,"Terhambat ","")&amp;TEXT('Laporan Progres'!J13,"0%"))</f>
        <v/>
      </c>
      <c r="J7" s="28">
        <f>IF($A7="","",IF('Input Status'!M14="","",IF('Input Status'!M14="Terhambat","Terhambat ","")&amp;TEXT(IFERROR(VLOOKUP('Input Status'!M14,Pengaturan!$A$6:$B$10,2,FALSE),0),"0%")))</f>
        <v/>
      </c>
    </row>
    <row r="8">
      <c r="A8" s="14">
        <f>IF('Data Mahasiswa'!B10="","",'Data Mahasiswa'!B10)</f>
        <v/>
      </c>
      <c r="B8" s="14">
        <f>IF($A8="","",'Data Mahasiswa'!C10)</f>
        <v/>
      </c>
      <c r="C8" s="14">
        <f>IF($A8="","",'Data Mahasiswa'!F10)</f>
        <v/>
      </c>
      <c r="D8" s="14">
        <f>IF($A8="","",'Data Mahasiswa'!E10)</f>
        <v/>
      </c>
      <c r="E8" s="28">
        <f>IF($A8="","","y")</f>
        <v/>
      </c>
      <c r="F8" s="28">
        <f>IF($A8="","",IF(COUNTIF('Input Status'!D15:J15,"Terhambat")&gt;0,"Terhambat ","")&amp;TEXT('Laporan Progres'!G14,"0%"))</f>
        <v/>
      </c>
      <c r="G8" s="28">
        <f>IF($A8="","",IF(COUNTIF('Input Status'!K15:N15,"Terhambat")&gt;0,"Terhambat ","")&amp;TEXT('Laporan Progres'!H14,"0%"))</f>
        <v/>
      </c>
      <c r="H8" s="28">
        <f>IF($A8="","",IF(COUNTIF('Input Status'!O15:T15,"Terhambat")&gt;0,"Terhambat ","")&amp;TEXT('Laporan Progres'!I14,"0%"))</f>
        <v/>
      </c>
      <c r="I8" s="28">
        <f>IF($A8="","",IF(COUNTIF('Input Status'!U15:Z15,"Terhambat")&gt;0,"Terhambat ","")&amp;TEXT('Laporan Progres'!J14,"0%"))</f>
        <v/>
      </c>
      <c r="J8" s="28">
        <f>IF($A8="","",IF('Input Status'!M15="","",IF('Input Status'!M15="Terhambat","Terhambat ","")&amp;TEXT(IFERROR(VLOOKUP('Input Status'!M15,Pengaturan!$A$6:$B$10,2,FALSE),0),"0%")))</f>
        <v/>
      </c>
    </row>
    <row r="9">
      <c r="A9" s="14">
        <f>IF('Data Mahasiswa'!B11="","",'Data Mahasiswa'!B11)</f>
        <v/>
      </c>
      <c r="B9" s="14">
        <f>IF($A9="","",'Data Mahasiswa'!C11)</f>
        <v/>
      </c>
      <c r="C9" s="14">
        <f>IF($A9="","",'Data Mahasiswa'!F11)</f>
        <v/>
      </c>
      <c r="D9" s="14">
        <f>IF($A9="","",'Data Mahasiswa'!E11)</f>
        <v/>
      </c>
      <c r="E9" s="28">
        <f>IF($A9="","","y")</f>
        <v/>
      </c>
      <c r="F9" s="28">
        <f>IF($A9="","",IF(COUNTIF('Input Status'!D16:J16,"Terhambat")&gt;0,"Terhambat ","")&amp;TEXT('Laporan Progres'!G15,"0%"))</f>
        <v/>
      </c>
      <c r="G9" s="28">
        <f>IF($A9="","",IF(COUNTIF('Input Status'!K16:N16,"Terhambat")&gt;0,"Terhambat ","")&amp;TEXT('Laporan Progres'!H15,"0%"))</f>
        <v/>
      </c>
      <c r="H9" s="28">
        <f>IF($A9="","",IF(COUNTIF('Input Status'!O16:T16,"Terhambat")&gt;0,"Terhambat ","")&amp;TEXT('Laporan Progres'!I15,"0%"))</f>
        <v/>
      </c>
      <c r="I9" s="28">
        <f>IF($A9="","",IF(COUNTIF('Input Status'!U16:Z16,"Terhambat")&gt;0,"Terhambat ","")&amp;TEXT('Laporan Progres'!J15,"0%"))</f>
        <v/>
      </c>
      <c r="J9" s="28">
        <f>IF($A9="","",IF('Input Status'!M16="","",IF('Input Status'!M16="Terhambat","Terhambat ","")&amp;TEXT(IFERROR(VLOOKUP('Input Status'!M16,Pengaturan!$A$6:$B$10,2,FALSE),0),"0%")))</f>
        <v/>
      </c>
    </row>
    <row r="10">
      <c r="A10" s="14">
        <f>IF('Data Mahasiswa'!B12="","",'Data Mahasiswa'!B12)</f>
        <v/>
      </c>
      <c r="B10" s="14">
        <f>IF($A10="","",'Data Mahasiswa'!C12)</f>
        <v/>
      </c>
      <c r="C10" s="14">
        <f>IF($A10="","",'Data Mahasiswa'!F12)</f>
        <v/>
      </c>
      <c r="D10" s="14">
        <f>IF($A10="","",'Data Mahasiswa'!E12)</f>
        <v/>
      </c>
      <c r="E10" s="28">
        <f>IF($A10="","","y")</f>
        <v/>
      </c>
      <c r="F10" s="28">
        <f>IF($A10="","",IF(COUNTIF('Input Status'!D17:J17,"Terhambat")&gt;0,"Terhambat ","")&amp;TEXT('Laporan Progres'!G16,"0%"))</f>
        <v/>
      </c>
      <c r="G10" s="28">
        <f>IF($A10="","",IF(COUNTIF('Input Status'!K17:N17,"Terhambat")&gt;0,"Terhambat ","")&amp;TEXT('Laporan Progres'!H16,"0%"))</f>
        <v/>
      </c>
      <c r="H10" s="28">
        <f>IF($A10="","",IF(COUNTIF('Input Status'!O17:T17,"Terhambat")&gt;0,"Terhambat ","")&amp;TEXT('Laporan Progres'!I16,"0%"))</f>
        <v/>
      </c>
      <c r="I10" s="28">
        <f>IF($A10="","",IF(COUNTIF('Input Status'!U17:Z17,"Terhambat")&gt;0,"Terhambat ","")&amp;TEXT('Laporan Progres'!J16,"0%"))</f>
        <v/>
      </c>
      <c r="J10" s="28">
        <f>IF($A10="","",IF('Input Status'!M17="","",IF('Input Status'!M17="Terhambat","Terhambat ","")&amp;TEXT(IFERROR(VLOOKUP('Input Status'!M17,Pengaturan!$A$6:$B$10,2,FALSE),0),"0%")))</f>
        <v/>
      </c>
    </row>
    <row r="11">
      <c r="A11" s="14">
        <f>IF('Data Mahasiswa'!B13="","",'Data Mahasiswa'!B13)</f>
        <v/>
      </c>
      <c r="B11" s="14">
        <f>IF($A11="","",'Data Mahasiswa'!C13)</f>
        <v/>
      </c>
      <c r="C11" s="14">
        <f>IF($A11="","",'Data Mahasiswa'!F13)</f>
        <v/>
      </c>
      <c r="D11" s="14">
        <f>IF($A11="","",'Data Mahasiswa'!E13)</f>
        <v/>
      </c>
      <c r="E11" s="28">
        <f>IF($A11="","","y")</f>
        <v/>
      </c>
      <c r="F11" s="28">
        <f>IF($A11="","",IF(COUNTIF('Input Status'!D18:J18,"Terhambat")&gt;0,"Terhambat ","")&amp;TEXT('Laporan Progres'!G17,"0%"))</f>
        <v/>
      </c>
      <c r="G11" s="28">
        <f>IF($A11="","",IF(COUNTIF('Input Status'!K18:N18,"Terhambat")&gt;0,"Terhambat ","")&amp;TEXT('Laporan Progres'!H17,"0%"))</f>
        <v/>
      </c>
      <c r="H11" s="28">
        <f>IF($A11="","",IF(COUNTIF('Input Status'!O18:T18,"Terhambat")&gt;0,"Terhambat ","")&amp;TEXT('Laporan Progres'!I17,"0%"))</f>
        <v/>
      </c>
      <c r="I11" s="28">
        <f>IF($A11="","",IF(COUNTIF('Input Status'!U18:Z18,"Terhambat")&gt;0,"Terhambat ","")&amp;TEXT('Laporan Progres'!J17,"0%"))</f>
        <v/>
      </c>
      <c r="J11" s="28">
        <f>IF($A11="","",IF('Input Status'!M18="","",IF('Input Status'!M18="Terhambat","Terhambat ","")&amp;TEXT(IFERROR(VLOOKUP('Input Status'!M18,Pengaturan!$A$6:$B$10,2,FALSE),0),"0%")))</f>
        <v/>
      </c>
    </row>
    <row r="12">
      <c r="A12" s="14">
        <f>IF('Data Mahasiswa'!B14="","",'Data Mahasiswa'!B14)</f>
        <v/>
      </c>
      <c r="B12" s="14">
        <f>IF($A12="","",'Data Mahasiswa'!C14)</f>
        <v/>
      </c>
      <c r="C12" s="14">
        <f>IF($A12="","",'Data Mahasiswa'!F14)</f>
        <v/>
      </c>
      <c r="D12" s="14">
        <f>IF($A12="","",'Data Mahasiswa'!E14)</f>
        <v/>
      </c>
      <c r="E12" s="28">
        <f>IF($A12="","","y")</f>
        <v/>
      </c>
      <c r="F12" s="28">
        <f>IF($A12="","",IF(COUNTIF('Input Status'!D19:J19,"Terhambat")&gt;0,"Terhambat ","")&amp;TEXT('Laporan Progres'!G18,"0%"))</f>
        <v/>
      </c>
      <c r="G12" s="28">
        <f>IF($A12="","",IF(COUNTIF('Input Status'!K19:N19,"Terhambat")&gt;0,"Terhambat ","")&amp;TEXT('Laporan Progres'!H18,"0%"))</f>
        <v/>
      </c>
      <c r="H12" s="28">
        <f>IF($A12="","",IF(COUNTIF('Input Status'!O19:T19,"Terhambat")&gt;0,"Terhambat ","")&amp;TEXT('Laporan Progres'!I18,"0%"))</f>
        <v/>
      </c>
      <c r="I12" s="28">
        <f>IF($A12="","",IF(COUNTIF('Input Status'!U19:Z19,"Terhambat")&gt;0,"Terhambat ","")&amp;TEXT('Laporan Progres'!J18,"0%"))</f>
        <v/>
      </c>
      <c r="J12" s="28">
        <f>IF($A12="","",IF('Input Status'!M19="","",IF('Input Status'!M19="Terhambat","Terhambat ","")&amp;TEXT(IFERROR(VLOOKUP('Input Status'!M19,Pengaturan!$A$6:$B$10,2,FALSE),0),"0%")))</f>
        <v/>
      </c>
    </row>
    <row r="13">
      <c r="A13" s="14">
        <f>IF('Data Mahasiswa'!B15="","",'Data Mahasiswa'!B15)</f>
        <v/>
      </c>
      <c r="B13" s="14">
        <f>IF($A13="","",'Data Mahasiswa'!C15)</f>
        <v/>
      </c>
      <c r="C13" s="14">
        <f>IF($A13="","",'Data Mahasiswa'!F15)</f>
        <v/>
      </c>
      <c r="D13" s="14">
        <f>IF($A13="","",'Data Mahasiswa'!E15)</f>
        <v/>
      </c>
      <c r="E13" s="28">
        <f>IF($A13="","","y")</f>
        <v/>
      </c>
      <c r="F13" s="28">
        <f>IF($A13="","",IF(COUNTIF('Input Status'!D20:J20,"Terhambat")&gt;0,"Terhambat ","")&amp;TEXT('Laporan Progres'!G19,"0%"))</f>
        <v/>
      </c>
      <c r="G13" s="28">
        <f>IF($A13="","",IF(COUNTIF('Input Status'!K20:N20,"Terhambat")&gt;0,"Terhambat ","")&amp;TEXT('Laporan Progres'!H19,"0%"))</f>
        <v/>
      </c>
      <c r="H13" s="28">
        <f>IF($A13="","",IF(COUNTIF('Input Status'!O20:T20,"Terhambat")&gt;0,"Terhambat ","")&amp;TEXT('Laporan Progres'!I19,"0%"))</f>
        <v/>
      </c>
      <c r="I13" s="28">
        <f>IF($A13="","",IF(COUNTIF('Input Status'!U20:Z20,"Terhambat")&gt;0,"Terhambat ","")&amp;TEXT('Laporan Progres'!J19,"0%"))</f>
        <v/>
      </c>
      <c r="J13" s="28">
        <f>IF($A13="","",IF('Input Status'!M20="","",IF('Input Status'!M20="Terhambat","Terhambat ","")&amp;TEXT(IFERROR(VLOOKUP('Input Status'!M20,Pengaturan!$A$6:$B$10,2,FALSE),0),"0%")))</f>
        <v/>
      </c>
    </row>
    <row r="14">
      <c r="A14" s="14">
        <f>IF('Data Mahasiswa'!B16="","",'Data Mahasiswa'!B16)</f>
        <v/>
      </c>
      <c r="B14" s="14">
        <f>IF($A14="","",'Data Mahasiswa'!C16)</f>
        <v/>
      </c>
      <c r="C14" s="14">
        <f>IF($A14="","",'Data Mahasiswa'!F16)</f>
        <v/>
      </c>
      <c r="D14" s="14">
        <f>IF($A14="","",'Data Mahasiswa'!E16)</f>
        <v/>
      </c>
      <c r="E14" s="28">
        <f>IF($A14="","","y")</f>
        <v/>
      </c>
      <c r="F14" s="28">
        <f>IF($A14="","",IF(COUNTIF('Input Status'!D21:J21,"Terhambat")&gt;0,"Terhambat ","")&amp;TEXT('Laporan Progres'!G20,"0%"))</f>
        <v/>
      </c>
      <c r="G14" s="28">
        <f>IF($A14="","",IF(COUNTIF('Input Status'!K21:N21,"Terhambat")&gt;0,"Terhambat ","")&amp;TEXT('Laporan Progres'!H20,"0%"))</f>
        <v/>
      </c>
      <c r="H14" s="28">
        <f>IF($A14="","",IF(COUNTIF('Input Status'!O21:T21,"Terhambat")&gt;0,"Terhambat ","")&amp;TEXT('Laporan Progres'!I20,"0%"))</f>
        <v/>
      </c>
      <c r="I14" s="28">
        <f>IF($A14="","",IF(COUNTIF('Input Status'!U21:Z21,"Terhambat")&gt;0,"Terhambat ","")&amp;TEXT('Laporan Progres'!J20,"0%"))</f>
        <v/>
      </c>
      <c r="J14" s="28">
        <f>IF($A14="","",IF('Input Status'!M21="","",IF('Input Status'!M21="Terhambat","Terhambat ","")&amp;TEXT(IFERROR(VLOOKUP('Input Status'!M21,Pengaturan!$A$6:$B$10,2,FALSE),0),"0%")))</f>
        <v/>
      </c>
    </row>
    <row r="15">
      <c r="A15" s="14">
        <f>IF('Data Mahasiswa'!B17="","",'Data Mahasiswa'!B17)</f>
        <v/>
      </c>
      <c r="B15" s="14">
        <f>IF($A15="","",'Data Mahasiswa'!C17)</f>
        <v/>
      </c>
      <c r="C15" s="14">
        <f>IF($A15="","",'Data Mahasiswa'!F17)</f>
        <v/>
      </c>
      <c r="D15" s="14">
        <f>IF($A15="","",'Data Mahasiswa'!E17)</f>
        <v/>
      </c>
      <c r="E15" s="28">
        <f>IF($A15="","","y")</f>
        <v/>
      </c>
      <c r="F15" s="28">
        <f>IF($A15="","",IF(COUNTIF('Input Status'!D22:J22,"Terhambat")&gt;0,"Terhambat ","")&amp;TEXT('Laporan Progres'!G21,"0%"))</f>
        <v/>
      </c>
      <c r="G15" s="28">
        <f>IF($A15="","",IF(COUNTIF('Input Status'!K22:N22,"Terhambat")&gt;0,"Terhambat ","")&amp;TEXT('Laporan Progres'!H21,"0%"))</f>
        <v/>
      </c>
      <c r="H15" s="28">
        <f>IF($A15="","",IF(COUNTIF('Input Status'!O22:T22,"Terhambat")&gt;0,"Terhambat ","")&amp;TEXT('Laporan Progres'!I21,"0%"))</f>
        <v/>
      </c>
      <c r="I15" s="28">
        <f>IF($A15="","",IF(COUNTIF('Input Status'!U22:Z22,"Terhambat")&gt;0,"Terhambat ","")&amp;TEXT('Laporan Progres'!J21,"0%"))</f>
        <v/>
      </c>
      <c r="J15" s="28">
        <f>IF($A15="","",IF('Input Status'!M22="","",IF('Input Status'!M22="Terhambat","Terhambat ","")&amp;TEXT(IFERROR(VLOOKUP('Input Status'!M22,Pengaturan!$A$6:$B$10,2,FALSE),0),"0%")))</f>
        <v/>
      </c>
    </row>
    <row r="16">
      <c r="A16" s="14">
        <f>IF('Data Mahasiswa'!B18="","",'Data Mahasiswa'!B18)</f>
        <v/>
      </c>
      <c r="B16" s="14">
        <f>IF($A16="","",'Data Mahasiswa'!C18)</f>
        <v/>
      </c>
      <c r="C16" s="14">
        <f>IF($A16="","",'Data Mahasiswa'!F18)</f>
        <v/>
      </c>
      <c r="D16" s="14">
        <f>IF($A16="","",'Data Mahasiswa'!E18)</f>
        <v/>
      </c>
      <c r="E16" s="28">
        <f>IF($A16="","","y")</f>
        <v/>
      </c>
      <c r="F16" s="28">
        <f>IF($A16="","",IF(COUNTIF('Input Status'!D23:J23,"Terhambat")&gt;0,"Terhambat ","")&amp;TEXT('Laporan Progres'!G22,"0%"))</f>
        <v/>
      </c>
      <c r="G16" s="28">
        <f>IF($A16="","",IF(COUNTIF('Input Status'!K23:N23,"Terhambat")&gt;0,"Terhambat ","")&amp;TEXT('Laporan Progres'!H22,"0%"))</f>
        <v/>
      </c>
      <c r="H16" s="28">
        <f>IF($A16="","",IF(COUNTIF('Input Status'!O23:T23,"Terhambat")&gt;0,"Terhambat ","")&amp;TEXT('Laporan Progres'!I22,"0%"))</f>
        <v/>
      </c>
      <c r="I16" s="28">
        <f>IF($A16="","",IF(COUNTIF('Input Status'!U23:Z23,"Terhambat")&gt;0,"Terhambat ","")&amp;TEXT('Laporan Progres'!J22,"0%"))</f>
        <v/>
      </c>
      <c r="J16" s="28">
        <f>IF($A16="","",IF('Input Status'!M23="","",IF('Input Status'!M23="Terhambat","Terhambat ","")&amp;TEXT(IFERROR(VLOOKUP('Input Status'!M23,Pengaturan!$A$6:$B$10,2,FALSE),0),"0%")))</f>
        <v/>
      </c>
    </row>
    <row r="17">
      <c r="A17" s="14">
        <f>IF('Data Mahasiswa'!B19="","",'Data Mahasiswa'!B19)</f>
        <v/>
      </c>
      <c r="B17" s="14">
        <f>IF($A17="","",'Data Mahasiswa'!C19)</f>
        <v/>
      </c>
      <c r="C17" s="14">
        <f>IF($A17="","",'Data Mahasiswa'!F19)</f>
        <v/>
      </c>
      <c r="D17" s="14">
        <f>IF($A17="","",'Data Mahasiswa'!E19)</f>
        <v/>
      </c>
      <c r="E17" s="28">
        <f>IF($A17="","","y")</f>
        <v/>
      </c>
      <c r="F17" s="28">
        <f>IF($A17="","",IF(COUNTIF('Input Status'!D24:J24,"Terhambat")&gt;0,"Terhambat ","")&amp;TEXT('Laporan Progres'!G23,"0%"))</f>
        <v/>
      </c>
      <c r="G17" s="28">
        <f>IF($A17="","",IF(COUNTIF('Input Status'!K24:N24,"Terhambat")&gt;0,"Terhambat ","")&amp;TEXT('Laporan Progres'!H23,"0%"))</f>
        <v/>
      </c>
      <c r="H17" s="28">
        <f>IF($A17="","",IF(COUNTIF('Input Status'!O24:T24,"Terhambat")&gt;0,"Terhambat ","")&amp;TEXT('Laporan Progres'!I23,"0%"))</f>
        <v/>
      </c>
      <c r="I17" s="28">
        <f>IF($A17="","",IF(COUNTIF('Input Status'!U24:Z24,"Terhambat")&gt;0,"Terhambat ","")&amp;TEXT('Laporan Progres'!J23,"0%"))</f>
        <v/>
      </c>
      <c r="J17" s="28">
        <f>IF($A17="","",IF('Input Status'!M24="","",IF('Input Status'!M24="Terhambat","Terhambat ","")&amp;TEXT(IFERROR(VLOOKUP('Input Status'!M24,Pengaturan!$A$6:$B$10,2,FALSE),0),"0%")))</f>
        <v/>
      </c>
    </row>
    <row r="18">
      <c r="A18" s="14">
        <f>IF('Data Mahasiswa'!B20="","",'Data Mahasiswa'!B20)</f>
        <v/>
      </c>
      <c r="B18" s="14">
        <f>IF($A18="","",'Data Mahasiswa'!C20)</f>
        <v/>
      </c>
      <c r="C18" s="14">
        <f>IF($A18="","",'Data Mahasiswa'!F20)</f>
        <v/>
      </c>
      <c r="D18" s="14">
        <f>IF($A18="","",'Data Mahasiswa'!E20)</f>
        <v/>
      </c>
      <c r="E18" s="28">
        <f>IF($A18="","","y")</f>
        <v/>
      </c>
      <c r="F18" s="28">
        <f>IF($A18="","",IF(COUNTIF('Input Status'!D25:J25,"Terhambat")&gt;0,"Terhambat ","")&amp;TEXT('Laporan Progres'!G24,"0%"))</f>
        <v/>
      </c>
      <c r="G18" s="28">
        <f>IF($A18="","",IF(COUNTIF('Input Status'!K25:N25,"Terhambat")&gt;0,"Terhambat ","")&amp;TEXT('Laporan Progres'!H24,"0%"))</f>
        <v/>
      </c>
      <c r="H18" s="28">
        <f>IF($A18="","",IF(COUNTIF('Input Status'!O25:T25,"Terhambat")&gt;0,"Terhambat ","")&amp;TEXT('Laporan Progres'!I24,"0%"))</f>
        <v/>
      </c>
      <c r="I18" s="28">
        <f>IF($A18="","",IF(COUNTIF('Input Status'!U25:Z25,"Terhambat")&gt;0,"Terhambat ","")&amp;TEXT('Laporan Progres'!J24,"0%"))</f>
        <v/>
      </c>
      <c r="J18" s="28">
        <f>IF($A18="","",IF('Input Status'!M25="","",IF('Input Status'!M25="Terhambat","Terhambat ","")&amp;TEXT(IFERROR(VLOOKUP('Input Status'!M25,Pengaturan!$A$6:$B$10,2,FALSE),0),"0%")))</f>
        <v/>
      </c>
    </row>
    <row r="19">
      <c r="A19" s="14">
        <f>IF('Data Mahasiswa'!B21="","",'Data Mahasiswa'!B21)</f>
        <v/>
      </c>
      <c r="B19" s="14">
        <f>IF($A19="","",'Data Mahasiswa'!C21)</f>
        <v/>
      </c>
      <c r="C19" s="14">
        <f>IF($A19="","",'Data Mahasiswa'!F21)</f>
        <v/>
      </c>
      <c r="D19" s="14">
        <f>IF($A19="","",'Data Mahasiswa'!E21)</f>
        <v/>
      </c>
      <c r="E19" s="28">
        <f>IF($A19="","","y")</f>
        <v/>
      </c>
      <c r="F19" s="28">
        <f>IF($A19="","",IF(COUNTIF('Input Status'!D26:J26,"Terhambat")&gt;0,"Terhambat ","")&amp;TEXT('Laporan Progres'!G25,"0%"))</f>
        <v/>
      </c>
      <c r="G19" s="28">
        <f>IF($A19="","",IF(COUNTIF('Input Status'!K26:N26,"Terhambat")&gt;0,"Terhambat ","")&amp;TEXT('Laporan Progres'!H25,"0%"))</f>
        <v/>
      </c>
      <c r="H19" s="28">
        <f>IF($A19="","",IF(COUNTIF('Input Status'!O26:T26,"Terhambat")&gt;0,"Terhambat ","")&amp;TEXT('Laporan Progres'!I25,"0%"))</f>
        <v/>
      </c>
      <c r="I19" s="28">
        <f>IF($A19="","",IF(COUNTIF('Input Status'!U26:Z26,"Terhambat")&gt;0,"Terhambat ","")&amp;TEXT('Laporan Progres'!J25,"0%"))</f>
        <v/>
      </c>
      <c r="J19" s="28">
        <f>IF($A19="","",IF('Input Status'!M26="","",IF('Input Status'!M26="Terhambat","Terhambat ","")&amp;TEXT(IFERROR(VLOOKUP('Input Status'!M26,Pengaturan!$A$6:$B$10,2,FALSE),0),"0%")))</f>
        <v/>
      </c>
    </row>
    <row r="20">
      <c r="A20" s="14">
        <f>IF('Data Mahasiswa'!B22="","",'Data Mahasiswa'!B22)</f>
        <v/>
      </c>
      <c r="B20" s="14">
        <f>IF($A20="","",'Data Mahasiswa'!C22)</f>
        <v/>
      </c>
      <c r="C20" s="14">
        <f>IF($A20="","",'Data Mahasiswa'!F22)</f>
        <v/>
      </c>
      <c r="D20" s="14">
        <f>IF($A20="","",'Data Mahasiswa'!E22)</f>
        <v/>
      </c>
      <c r="E20" s="28">
        <f>IF($A20="","","y")</f>
        <v/>
      </c>
      <c r="F20" s="28">
        <f>IF($A20="","",IF(COUNTIF('Input Status'!D27:J27,"Terhambat")&gt;0,"Terhambat ","")&amp;TEXT('Laporan Progres'!G26,"0%"))</f>
        <v/>
      </c>
      <c r="G20" s="28">
        <f>IF($A20="","",IF(COUNTIF('Input Status'!K27:N27,"Terhambat")&gt;0,"Terhambat ","")&amp;TEXT('Laporan Progres'!H26,"0%"))</f>
        <v/>
      </c>
      <c r="H20" s="28">
        <f>IF($A20="","",IF(COUNTIF('Input Status'!O27:T27,"Terhambat")&gt;0,"Terhambat ","")&amp;TEXT('Laporan Progres'!I26,"0%"))</f>
        <v/>
      </c>
      <c r="I20" s="28">
        <f>IF($A20="","",IF(COUNTIF('Input Status'!U27:Z27,"Terhambat")&gt;0,"Terhambat ","")&amp;TEXT('Laporan Progres'!J26,"0%"))</f>
        <v/>
      </c>
      <c r="J20" s="28">
        <f>IF($A20="","",IF('Input Status'!M27="","",IF('Input Status'!M27="Terhambat","Terhambat ","")&amp;TEXT(IFERROR(VLOOKUP('Input Status'!M27,Pengaturan!$A$6:$B$10,2,FALSE),0),"0%")))</f>
        <v/>
      </c>
    </row>
    <row r="21">
      <c r="A21" s="14">
        <f>IF('Data Mahasiswa'!B23="","",'Data Mahasiswa'!B23)</f>
        <v/>
      </c>
      <c r="B21" s="14">
        <f>IF($A21="","",'Data Mahasiswa'!C23)</f>
        <v/>
      </c>
      <c r="C21" s="14">
        <f>IF($A21="","",'Data Mahasiswa'!F23)</f>
        <v/>
      </c>
      <c r="D21" s="14">
        <f>IF($A21="","",'Data Mahasiswa'!E23)</f>
        <v/>
      </c>
      <c r="E21" s="28">
        <f>IF($A21="","","y")</f>
        <v/>
      </c>
      <c r="F21" s="28">
        <f>IF($A21="","",IF(COUNTIF('Input Status'!D28:J28,"Terhambat")&gt;0,"Terhambat ","")&amp;TEXT('Laporan Progres'!G27,"0%"))</f>
        <v/>
      </c>
      <c r="G21" s="28">
        <f>IF($A21="","",IF(COUNTIF('Input Status'!K28:N28,"Terhambat")&gt;0,"Terhambat ","")&amp;TEXT('Laporan Progres'!H27,"0%"))</f>
        <v/>
      </c>
      <c r="H21" s="28">
        <f>IF($A21="","",IF(COUNTIF('Input Status'!O28:T28,"Terhambat")&gt;0,"Terhambat ","")&amp;TEXT('Laporan Progres'!I27,"0%"))</f>
        <v/>
      </c>
      <c r="I21" s="28">
        <f>IF($A21="","",IF(COUNTIF('Input Status'!U28:Z28,"Terhambat")&gt;0,"Terhambat ","")&amp;TEXT('Laporan Progres'!J27,"0%"))</f>
        <v/>
      </c>
      <c r="J21" s="28">
        <f>IF($A21="","",IF('Input Status'!M28="","",IF('Input Status'!M28="Terhambat","Terhambat ","")&amp;TEXT(IFERROR(VLOOKUP('Input Status'!M28,Pengaturan!$A$6:$B$10,2,FALSE),0),"0%")))</f>
        <v/>
      </c>
    </row>
    <row r="22">
      <c r="A22" s="14">
        <f>IF('Data Mahasiswa'!B24="","",'Data Mahasiswa'!B24)</f>
        <v/>
      </c>
      <c r="B22" s="14">
        <f>IF($A22="","",'Data Mahasiswa'!C24)</f>
        <v/>
      </c>
      <c r="C22" s="14">
        <f>IF($A22="","",'Data Mahasiswa'!F24)</f>
        <v/>
      </c>
      <c r="D22" s="14">
        <f>IF($A22="","",'Data Mahasiswa'!E24)</f>
        <v/>
      </c>
      <c r="E22" s="28">
        <f>IF($A22="","","y")</f>
        <v/>
      </c>
      <c r="F22" s="28">
        <f>IF($A22="","",IF(COUNTIF('Input Status'!D29:J29,"Terhambat")&gt;0,"Terhambat ","")&amp;TEXT('Laporan Progres'!G28,"0%"))</f>
        <v/>
      </c>
      <c r="G22" s="28">
        <f>IF($A22="","",IF(COUNTIF('Input Status'!K29:N29,"Terhambat")&gt;0,"Terhambat ","")&amp;TEXT('Laporan Progres'!H28,"0%"))</f>
        <v/>
      </c>
      <c r="H22" s="28">
        <f>IF($A22="","",IF(COUNTIF('Input Status'!O29:T29,"Terhambat")&gt;0,"Terhambat ","")&amp;TEXT('Laporan Progres'!I28,"0%"))</f>
        <v/>
      </c>
      <c r="I22" s="28">
        <f>IF($A22="","",IF(COUNTIF('Input Status'!U29:Z29,"Terhambat")&gt;0,"Terhambat ","")&amp;TEXT('Laporan Progres'!J28,"0%"))</f>
        <v/>
      </c>
      <c r="J22" s="28">
        <f>IF($A22="","",IF('Input Status'!M29="","",IF('Input Status'!M29="Terhambat","Terhambat ","")&amp;TEXT(IFERROR(VLOOKUP('Input Status'!M29,Pengaturan!$A$6:$B$10,2,FALSE),0),"0%")))</f>
        <v/>
      </c>
    </row>
    <row r="23">
      <c r="A23" s="14">
        <f>IF('Data Mahasiswa'!B25="","",'Data Mahasiswa'!B25)</f>
        <v/>
      </c>
      <c r="B23" s="14">
        <f>IF($A23="","",'Data Mahasiswa'!C25)</f>
        <v/>
      </c>
      <c r="C23" s="14">
        <f>IF($A23="","",'Data Mahasiswa'!F25)</f>
        <v/>
      </c>
      <c r="D23" s="14">
        <f>IF($A23="","",'Data Mahasiswa'!E25)</f>
        <v/>
      </c>
      <c r="E23" s="28">
        <f>IF($A23="","","y")</f>
        <v/>
      </c>
      <c r="F23" s="28">
        <f>IF($A23="","",IF(COUNTIF('Input Status'!D30:J30,"Terhambat")&gt;0,"Terhambat ","")&amp;TEXT('Laporan Progres'!G29,"0%"))</f>
        <v/>
      </c>
      <c r="G23" s="28">
        <f>IF($A23="","",IF(COUNTIF('Input Status'!K30:N30,"Terhambat")&gt;0,"Terhambat ","")&amp;TEXT('Laporan Progres'!H29,"0%"))</f>
        <v/>
      </c>
      <c r="H23" s="28">
        <f>IF($A23="","",IF(COUNTIF('Input Status'!O30:T30,"Terhambat")&gt;0,"Terhambat ","")&amp;TEXT('Laporan Progres'!I29,"0%"))</f>
        <v/>
      </c>
      <c r="I23" s="28">
        <f>IF($A23="","",IF(COUNTIF('Input Status'!U30:Z30,"Terhambat")&gt;0,"Terhambat ","")&amp;TEXT('Laporan Progres'!J29,"0%"))</f>
        <v/>
      </c>
      <c r="J23" s="28">
        <f>IF($A23="","",IF('Input Status'!M30="","",IF('Input Status'!M30="Terhambat","Terhambat ","")&amp;TEXT(IFERROR(VLOOKUP('Input Status'!M30,Pengaturan!$A$6:$B$10,2,FALSE),0),"0%")))</f>
        <v/>
      </c>
    </row>
    <row r="24">
      <c r="A24" s="14">
        <f>IF('Data Mahasiswa'!B26="","",'Data Mahasiswa'!B26)</f>
        <v/>
      </c>
      <c r="B24" s="14">
        <f>IF($A24="","",'Data Mahasiswa'!C26)</f>
        <v/>
      </c>
      <c r="C24" s="14">
        <f>IF($A24="","",'Data Mahasiswa'!F26)</f>
        <v/>
      </c>
      <c r="D24" s="14">
        <f>IF($A24="","",'Data Mahasiswa'!E26)</f>
        <v/>
      </c>
      <c r="E24" s="28">
        <f>IF($A24="","","y")</f>
        <v/>
      </c>
      <c r="F24" s="28">
        <f>IF($A24="","",IF(COUNTIF('Input Status'!D31:J31,"Terhambat")&gt;0,"Terhambat ","")&amp;TEXT('Laporan Progres'!G30,"0%"))</f>
        <v/>
      </c>
      <c r="G24" s="28">
        <f>IF($A24="","",IF(COUNTIF('Input Status'!K31:N31,"Terhambat")&gt;0,"Terhambat ","")&amp;TEXT('Laporan Progres'!H30,"0%"))</f>
        <v/>
      </c>
      <c r="H24" s="28">
        <f>IF($A24="","",IF(COUNTIF('Input Status'!O31:T31,"Terhambat")&gt;0,"Terhambat ","")&amp;TEXT('Laporan Progres'!I30,"0%"))</f>
        <v/>
      </c>
      <c r="I24" s="28">
        <f>IF($A24="","",IF(COUNTIF('Input Status'!U31:Z31,"Terhambat")&gt;0,"Terhambat ","")&amp;TEXT('Laporan Progres'!J30,"0%"))</f>
        <v/>
      </c>
      <c r="J24" s="28">
        <f>IF($A24="","",IF('Input Status'!M31="","",IF('Input Status'!M31="Terhambat","Terhambat ","")&amp;TEXT(IFERROR(VLOOKUP('Input Status'!M31,Pengaturan!$A$6:$B$10,2,FALSE),0),"0%")))</f>
        <v/>
      </c>
    </row>
    <row r="25">
      <c r="A25" s="14">
        <f>IF('Data Mahasiswa'!B27="","",'Data Mahasiswa'!B27)</f>
        <v/>
      </c>
      <c r="B25" s="14">
        <f>IF($A25="","",'Data Mahasiswa'!C27)</f>
        <v/>
      </c>
      <c r="C25" s="14">
        <f>IF($A25="","",'Data Mahasiswa'!F27)</f>
        <v/>
      </c>
      <c r="D25" s="14">
        <f>IF($A25="","",'Data Mahasiswa'!E27)</f>
        <v/>
      </c>
      <c r="E25" s="28">
        <f>IF($A25="","","y")</f>
        <v/>
      </c>
      <c r="F25" s="28">
        <f>IF($A25="","",IF(COUNTIF('Input Status'!D32:J32,"Terhambat")&gt;0,"Terhambat ","")&amp;TEXT('Laporan Progres'!G31,"0%"))</f>
        <v/>
      </c>
      <c r="G25" s="28">
        <f>IF($A25="","",IF(COUNTIF('Input Status'!K32:N32,"Terhambat")&gt;0,"Terhambat ","")&amp;TEXT('Laporan Progres'!H31,"0%"))</f>
        <v/>
      </c>
      <c r="H25" s="28">
        <f>IF($A25="","",IF(COUNTIF('Input Status'!O32:T32,"Terhambat")&gt;0,"Terhambat ","")&amp;TEXT('Laporan Progres'!I31,"0%"))</f>
        <v/>
      </c>
      <c r="I25" s="28">
        <f>IF($A25="","",IF(COUNTIF('Input Status'!U32:Z32,"Terhambat")&gt;0,"Terhambat ","")&amp;TEXT('Laporan Progres'!J31,"0%"))</f>
        <v/>
      </c>
      <c r="J25" s="28">
        <f>IF($A25="","",IF('Input Status'!M32="","",IF('Input Status'!M32="Terhambat","Terhambat ","")&amp;TEXT(IFERROR(VLOOKUP('Input Status'!M32,Pengaturan!$A$6:$B$10,2,FALSE),0),"0%")))</f>
        <v/>
      </c>
    </row>
    <row r="26">
      <c r="A26" s="14">
        <f>IF('Data Mahasiswa'!B28="","",'Data Mahasiswa'!B28)</f>
        <v/>
      </c>
      <c r="B26" s="14">
        <f>IF($A26="","",'Data Mahasiswa'!C28)</f>
        <v/>
      </c>
      <c r="C26" s="14">
        <f>IF($A26="","",'Data Mahasiswa'!F28)</f>
        <v/>
      </c>
      <c r="D26" s="14">
        <f>IF($A26="","",'Data Mahasiswa'!E28)</f>
        <v/>
      </c>
      <c r="E26" s="28">
        <f>IF($A26="","","y")</f>
        <v/>
      </c>
      <c r="F26" s="28">
        <f>IF($A26="","",IF(COUNTIF('Input Status'!D33:J33,"Terhambat")&gt;0,"Terhambat ","")&amp;TEXT('Laporan Progres'!G32,"0%"))</f>
        <v/>
      </c>
      <c r="G26" s="28">
        <f>IF($A26="","",IF(COUNTIF('Input Status'!K33:N33,"Terhambat")&gt;0,"Terhambat ","")&amp;TEXT('Laporan Progres'!H32,"0%"))</f>
        <v/>
      </c>
      <c r="H26" s="28">
        <f>IF($A26="","",IF(COUNTIF('Input Status'!O33:T33,"Terhambat")&gt;0,"Terhambat ","")&amp;TEXT('Laporan Progres'!I32,"0%"))</f>
        <v/>
      </c>
      <c r="I26" s="28">
        <f>IF($A26="","",IF(COUNTIF('Input Status'!U33:Z33,"Terhambat")&gt;0,"Terhambat ","")&amp;TEXT('Laporan Progres'!J32,"0%"))</f>
        <v/>
      </c>
      <c r="J26" s="28">
        <f>IF($A26="","",IF('Input Status'!M33="","",IF('Input Status'!M33="Terhambat","Terhambat ","")&amp;TEXT(IFERROR(VLOOKUP('Input Status'!M33,Pengaturan!$A$6:$B$10,2,FALSE),0),"0%")))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62" customWidth="1" min="3" max="3"/>
  </cols>
  <sheetData>
    <row r="1" ht="24" customHeight="1">
      <c r="A1" s="1" t="inlineStr">
        <is>
          <t>PENGATURAN PERHITUNGAN</t>
        </is>
      </c>
      <c r="B1" s="2" t="n"/>
      <c r="C1" s="2" t="n"/>
    </row>
    <row r="2">
      <c r="A2" s="3" t="inlineStr">
        <is>
          <t>Semua angka di sini adalah asumsi contoh - sesuaikan dengan kebijakan prodi.</t>
        </is>
      </c>
      <c r="B2" s="2" t="n"/>
      <c r="C2" s="2" t="n"/>
    </row>
    <row r="4">
      <c r="A4" s="29" t="inlineStr">
        <is>
          <t>BOBOT PERSEN PER STATUS KEGIATAN</t>
        </is>
      </c>
    </row>
    <row r="5">
      <c r="A5" s="4" t="inlineStr">
        <is>
          <t>Status</t>
        </is>
      </c>
      <c r="B5" s="4" t="inlineStr">
        <is>
          <t>Dihitung sebagai</t>
        </is>
      </c>
      <c r="C5" s="4" t="inlineStr">
        <is>
          <t>Keterangan</t>
        </is>
      </c>
    </row>
    <row r="6">
      <c r="A6" s="30" t="inlineStr">
        <is>
          <t>Belum Mulai</t>
        </is>
      </c>
      <c r="B6" s="31" t="n">
        <v>0</v>
      </c>
      <c r="C6" s="32" t="inlineStr">
        <is>
          <t>Tetap 0%</t>
        </is>
      </c>
    </row>
    <row r="7">
      <c r="A7" s="30" t="inlineStr">
        <is>
          <t>Sedang Dikerjakan</t>
        </is>
      </c>
      <c r="B7" s="31" t="n">
        <v>0.5</v>
      </c>
      <c r="C7" s="32" t="inlineStr">
        <is>
          <t>Kegiatan sudah berjalan, belum selesai</t>
        </is>
      </c>
    </row>
    <row r="8">
      <c r="A8" s="30" t="inlineStr">
        <is>
          <t>Menunggu Review</t>
        </is>
      </c>
      <c r="B8" s="31" t="n">
        <v>0.75</v>
      </c>
      <c r="C8" s="32" t="inlineStr">
        <is>
          <t>Pekerjaan mahasiswa selesai, menunggu masukan/ACC dosen</t>
        </is>
      </c>
    </row>
    <row r="9">
      <c r="A9" s="30" t="inlineStr">
        <is>
          <t>Terhambat</t>
        </is>
      </c>
      <c r="B9" s="31" t="n">
        <v>0.25</v>
      </c>
      <c r="C9" s="32" t="inlineStr">
        <is>
          <t>Ada kendala; tetap diberi bobot kecil dan ditandai di peringatan</t>
        </is>
      </c>
    </row>
    <row r="10">
      <c r="A10" s="30" t="inlineStr">
        <is>
          <t>Selesai</t>
        </is>
      </c>
      <c r="B10" s="31" t="n">
        <v>1</v>
      </c>
      <c r="C10" s="32" t="inlineStr">
        <is>
          <t>Tetap 100%</t>
        </is>
      </c>
    </row>
    <row r="12">
      <c r="A12" s="29" t="inlineStr">
        <is>
          <t>AMBANG STATUS MAHASISWA</t>
        </is>
      </c>
    </row>
    <row r="13">
      <c r="A13" s="4" t="inlineStr">
        <is>
          <t>Parameter</t>
        </is>
      </c>
      <c r="B13" s="4" t="inlineStr">
        <is>
          <t>Nilai</t>
        </is>
      </c>
      <c r="C13" s="4" t="inlineStr">
        <is>
          <t>Keterangan</t>
        </is>
      </c>
    </row>
    <row r="14">
      <c r="A14" s="30" t="inlineStr">
        <is>
          <t>Batas 'Perlu Perhatian' (selisih progres)</t>
        </is>
      </c>
      <c r="B14" s="31" t="n">
        <v>0.05</v>
      </c>
      <c r="C14" s="32" t="inlineStr">
        <is>
          <t>Tertinggal dari rencana lebih dari ini, atau ada kegiatan Terhambat</t>
        </is>
      </c>
    </row>
    <row r="15">
      <c r="A15" s="30" t="inlineStr">
        <is>
          <t>Batas 'Tertinggal' (selisih progres)</t>
        </is>
      </c>
      <c r="B15" s="31" t="n">
        <v>0.15</v>
      </c>
      <c r="C15" s="32" t="inlineStr">
        <is>
          <t>Tertinggal dari rencana lebih dari angka ini</t>
        </is>
      </c>
    </row>
    <row r="16">
      <c r="A16" s="30" t="inlineStr">
        <is>
          <t>Sidang dianggap dekat (hari)</t>
        </is>
      </c>
      <c r="B16" s="33" t="n">
        <v>60</v>
      </c>
      <c r="C16" s="32" t="inlineStr">
        <is>
          <t>Dipakai untuk peringatan &amp; kartu 'Sidang dalam ... hari'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2" customWidth="1" min="1" max="1"/>
    <col width="96" customWidth="1" min="2" max="2"/>
  </cols>
  <sheetData>
    <row r="1" ht="17" customHeight="1">
      <c r="A1" s="1" t="inlineStr">
        <is>
          <t>PETUNJUK PEMAKAIAN</t>
        </is>
      </c>
      <c r="B1" s="2" t="n"/>
    </row>
    <row r="2" ht="17" customHeight="1">
      <c r="A2" s="3" t="inlineStr">
        <is>
          <t>Timeline Bimbingan Torgas Blue Energy</t>
        </is>
      </c>
      <c r="B2" s="2" t="n"/>
    </row>
    <row r="3" ht="17" customHeight="1">
      <c r="A3" t="inlineStr"/>
      <c r="B3" t="inlineStr"/>
    </row>
    <row r="4" ht="17" customHeight="1">
      <c r="A4" s="34" t="inlineStr">
        <is>
          <t>CARA PAKAI</t>
        </is>
      </c>
      <c r="B4" s="2" t="inlineStr"/>
    </row>
    <row r="5" ht="17" customHeight="1">
      <c r="A5" s="35" t="inlineStr">
        <is>
          <t>1. Data Mahasiswa</t>
        </is>
      </c>
      <c r="B5" s="36" t="inlineStr">
        <is>
          <t>Isi daftar mahasiswa (maks. 25) beserta Tanggal SK. Hapus 4 baris contoh lebih dulu.</t>
        </is>
      </c>
    </row>
    <row r="6" ht="17" customHeight="1">
      <c r="A6" s="35" t="inlineStr">
        <is>
          <t>2. Input Status</t>
        </is>
      </c>
      <c r="B6" s="36" t="inlineStr">
        <is>
          <t>Pilih status tiap kegiatan lewat dropdown. Sel kosong dianggap Belum Mulai. Perbarui berkala.</t>
        </is>
      </c>
    </row>
    <row r="7" ht="17" customHeight="1">
      <c r="A7" s="35" t="inlineStr">
        <is>
          <t>3. Laporan Progres</t>
        </is>
      </c>
      <c r="B7" s="36" t="inlineStr">
        <is>
          <t>Terisi otomatis. Pakai tombol filter di header untuk menyaring, misalnya hanya yang Tertinggal.</t>
        </is>
      </c>
    </row>
    <row r="8" ht="17" customHeight="1">
      <c r="A8" s="35" t="inlineStr">
        <is>
          <t>4. Pengaturan</t>
        </is>
      </c>
      <c r="B8" s="36" t="inlineStr">
        <is>
          <t>Ubah persen tiap status dan ambang status bila perlu.</t>
        </is>
      </c>
    </row>
    <row r="9" ht="17" customHeight="1">
      <c r="A9" s="35" t="inlineStr">
        <is>
          <t>5. Web (Publish)</t>
        </is>
      </c>
      <c r="B9" s="36" t="inlineStr">
        <is>
          <t>JANGAN diisi tangan. Tab inilah yang dibaca website - lihat bagian di bawah.</t>
        </is>
      </c>
    </row>
    <row r="10" ht="17" customHeight="1">
      <c r="A10" t="inlineStr"/>
      <c r="B10" t="inlineStr"/>
    </row>
    <row r="11" ht="17" customHeight="1">
      <c r="A11" s="34" t="inlineStr">
        <is>
          <t>CARA MENGHITUNG</t>
        </is>
      </c>
      <c r="B11" s="2" t="inlineStr"/>
    </row>
    <row r="12" ht="17" customHeight="1">
      <c r="A12" s="35" t="inlineStr">
        <is>
          <t>Progres Keseluruhan</t>
        </is>
      </c>
      <c r="B12" s="36" t="inlineStr">
        <is>
          <t>Jumlah(bobot kegiatan x persen status) dibagi jumlah bobot. Persen status diatur di tab Pengaturan.</t>
        </is>
      </c>
    </row>
    <row r="13" ht="17" customHeight="1">
      <c r="A13" s="35" t="inlineStr">
        <is>
          <t>Progres per tahap</t>
        </is>
      </c>
      <c r="B13" s="36" t="inlineStr">
        <is>
          <t>Cara yang sama, hanya untuk kegiatan di tahap A, B, C, atau D saja.</t>
        </is>
      </c>
    </row>
    <row r="14" ht="17" customHeight="1">
      <c r="A14" s="35" t="inlineStr">
        <is>
          <t>Progres Seharusnya</t>
        </is>
      </c>
      <c r="B14" s="36" t="inlineStr">
        <is>
          <t>Progres yang semestinya tercapai hari ini menurut Mulai &amp; Durasi, dihitung dari Tanggal SK tiap mahasiswa.</t>
        </is>
      </c>
    </row>
    <row r="15" ht="17" customHeight="1">
      <c r="A15" s="35" t="inlineStr">
        <is>
          <t>Selisih</t>
        </is>
      </c>
      <c r="B15" s="36" t="inlineStr">
        <is>
          <t>Aktual dikurangi seharusnya. Angka merah berarti tertinggal dari jadwal.</t>
        </is>
      </c>
    </row>
    <row r="16" ht="17" customHeight="1">
      <c r="A16" s="35" t="inlineStr">
        <is>
          <t>Status</t>
        </is>
      </c>
      <c r="B16" s="36" t="inlineStr">
        <is>
          <t>Selesai (100%) / Tertinggal / Perlu Perhatian (ada kegiatan Terhambat atau selisih melewati ambang) / Sesuai Jalur.</t>
        </is>
      </c>
    </row>
    <row r="17" ht="17" customHeight="1">
      <c r="A17" t="inlineStr"/>
      <c r="B17" t="inlineStr"/>
    </row>
    <row r="18" ht="17" customHeight="1">
      <c r="A18" s="34" t="inlineStr">
        <is>
          <t>MENGHUBUNGKAN KE WEBSITE STUDENT PORTAL</t>
        </is>
      </c>
      <c r="B18" s="2" t="inlineStr"/>
    </row>
    <row r="19" ht="17" customHeight="1">
      <c r="A19" s="35" t="inlineStr">
        <is>
          <t>Langkah 1</t>
        </is>
      </c>
      <c r="B19" s="36" t="inlineStr">
        <is>
          <t>File &gt; Share &gt; Publish to web</t>
        </is>
      </c>
    </row>
    <row r="20" ht="17" customHeight="1">
      <c r="A20" s="35" t="inlineStr">
        <is>
          <t>Langkah 2</t>
        </is>
      </c>
      <c r="B20" s="36" t="inlineStr">
        <is>
          <t>Dropdown kiri: pilih tab  Web (Publish). JANGAN pilih Entire document.</t>
        </is>
      </c>
    </row>
    <row r="21" ht="17" customHeight="1">
      <c r="A21" s="35" t="inlineStr">
        <is>
          <t>Langkah 3</t>
        </is>
      </c>
      <c r="B21" s="36" t="inlineStr">
        <is>
          <t>Dropdown kanan: pilih  Comma-separated values (.csv)</t>
        </is>
      </c>
    </row>
    <row r="22" ht="17" customHeight="1">
      <c r="A22" s="35" t="inlineStr">
        <is>
          <t>Langkah 4</t>
        </is>
      </c>
      <c r="B22" s="36" t="inlineStr">
        <is>
          <t>Tekan Publish, salin alamat yang muncul</t>
        </is>
      </c>
    </row>
    <row r="23" ht="17" customHeight="1">
      <c r="A23" s="35" t="inlineStr">
        <is>
          <t>Langkah 5</t>
        </is>
      </c>
      <c r="B23" s="36" t="inlineStr">
        <is>
          <t>Tempel alamat itu ke TIMELINE_CSV_URL di berkas src/config.js pada website</t>
        </is>
      </c>
    </row>
    <row r="24" ht="17" customHeight="1">
      <c r="A24" t="inlineStr"/>
      <c r="B24" t="inlineStr"/>
    </row>
    <row r="25" ht="17" customHeight="1">
      <c r="A25" s="34" t="inlineStr">
        <is>
          <t>YANG PERLU DISADARI</t>
        </is>
      </c>
      <c r="B25" s="2" t="inlineStr"/>
    </row>
    <row r="26" ht="17" customHeight="1">
      <c r="A26" s="35" t="inlineStr">
        <is>
          <t>Hanya tab Web yang terbuka</t>
        </is>
      </c>
      <c r="B26" s="36" t="inlineStr">
        <is>
          <t>Setelah di-publish, tab Web (Publish) bisa dibaca siapa pun yang tahu alamatnya, tanpa login.</t>
        </is>
      </c>
    </row>
    <row r="27" ht="17" customHeight="1">
      <c r="A27" s="35" t="inlineStr"/>
      <c r="B27" s="36" t="inlineStr">
        <is>
          <t>Tab Data Mahasiswa, Input Status, dan Laporan Progres TIDAK ikut terbuka.</t>
        </is>
      </c>
    </row>
    <row r="28" ht="17" customHeight="1">
      <c r="A28" s="35" t="inlineStr">
        <is>
          <t>Isi tab Web</t>
        </is>
      </c>
      <c r="B28" s="36" t="inlineStr">
        <is>
          <t>Hanya nama, NIM, pembimbing, judul, dan persentase per tahap. Tidak ada tanggal SK, catatan, atau peringatan.</t>
        </is>
      </c>
    </row>
    <row r="29" ht="17" customHeight="1">
      <c r="A29" s="35" t="inlineStr">
        <is>
          <t>Menutup kembali</t>
        </is>
      </c>
      <c r="B29" s="36" t="inlineStr">
        <is>
          <t>File &gt; Share &gt; Publish to web &gt; Stop publishing, lalu kosongkan TIMELINE_CSV_URL.</t>
        </is>
      </c>
    </row>
    <row r="30" ht="17" customHeight="1">
      <c r="A30" t="inlineStr"/>
      <c r="B30" t="inlineStr"/>
    </row>
    <row r="31" ht="17" customHeight="1">
      <c r="A31" s="34" t="inlineStr">
        <is>
          <t>ASUMSI YANG PERLU DISESUAIKAN</t>
        </is>
      </c>
      <c r="B31" s="2" t="inlineStr"/>
    </row>
    <row r="32" ht="17" customHeight="1">
      <c r="A32" s="35" t="inlineStr">
        <is>
          <t>Persen per status</t>
        </is>
      </c>
      <c r="B32" s="36" t="inlineStr">
        <is>
          <t>50/75/25% adalah contoh, bukan standar baku.</t>
        </is>
      </c>
    </row>
    <row r="33" ht="17" customHeight="1">
      <c r="A33" s="35" t="inlineStr">
        <is>
          <t>Jadwal default</t>
        </is>
      </c>
      <c r="B33" s="36" t="inlineStr">
        <is>
          <t>Sekitar 36 minggu dari SK, hanya estimasi umum. Seminar hasil dan izin etik berbeda antar prodi.</t>
        </is>
      </c>
    </row>
    <row r="34" ht="17" customHeight="1">
      <c r="A34" s="35" t="inlineStr">
        <is>
          <t>Kegiatan tak berlaku</t>
        </is>
      </c>
      <c r="B34" s="36" t="inlineStr">
        <is>
          <t>Beri Bobot 0 pada kegiatan yang tidak dipakai, jangan dihapus kolomnya.</t>
        </is>
      </c>
    </row>
    <row r="35" ht="17" customHeight="1">
      <c r="A35" s="35" t="inlineStr">
        <is>
          <t>Berlaku seragam</t>
        </is>
      </c>
      <c r="B35" s="36" t="inlineStr">
        <is>
          <t>Jadwal dan bobot berlaku sama untuk semua mahasiswa dalam berkas ini.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2026-10-19T03:57:17Z</dcterms:created>
  <dcterms:modified xmlns:dcterms="http://purl.org/dc/terms/" xmlns:xsi="http://www.w3.org/2001/XMLSchema-instance" xsi:type="dcterms:W3CDTF">2026-10-19T03:57:17Z</dcterms:modified>
</cp:coreProperties>
</file>