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Bank Pertanyaan" sheetId="2" state="visible" r:id="rId4"/>
    <sheet name="1 Berry" sheetId="3" state="visible" r:id="rId5"/>
    <sheet name="2 Zaidan" sheetId="4" state="visible" r:id="rId6"/>
    <sheet name="3 Prima" sheetId="5" state="visible" r:id="rId7"/>
    <sheet name="4 Ridho" sheetId="6" state="visible" r:id="rId8"/>
    <sheet name="5 Debora" sheetId="7" state="visible" r:id="rId9"/>
    <sheet name="6 Christian" sheetId="8" state="visible" r:id="rId10"/>
    <sheet name="7 Hanna" sheetId="9" state="visible" r:id="rId11"/>
    <sheet name="Reka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<sst xmlns="http://schemas.openxmlformats.org/spreadsheetml/2006/main" count="479" uniqueCount="201">
  <si>
    <t xml:space="preserve">PANDUAN WAWANCARA MAGANG — TORGAS BLUE ENERGY</t>
  </si>
  <si>
    <t xml:space="preserve">Berkas ini berisi bank pertanyaan, lembar penilaian per orang, dan rekap perbandingan.</t>
  </si>
  <si>
    <t xml:space="preserve">CARA PAKAI</t>
  </si>
  <si>
    <t xml:space="preserve">1.</t>
  </si>
  <si>
    <t xml:space="preserve">Buka tab 'Bank Pertanyaan' sebelum wawancara. Pilih pertanyaan yang relevan — tidak semua harus ditanyakan.</t>
  </si>
  <si>
    <t xml:space="preserve">2.</t>
  </si>
  <si>
    <t xml:space="preserve">Selama wawancara, isi tab nama orang yang bersangkutan. Hanya kolom kuning yang diisi.</t>
  </si>
  <si>
    <t xml:space="preserve">3.</t>
  </si>
  <si>
    <t xml:space="preserve">Nilai tiap kriteria 1-5. Kolom Nilai Akhir dan Rekap terhitung otomatis.</t>
  </si>
  <si>
    <t xml:space="preserve">4.</t>
  </si>
  <si>
    <t xml:space="preserve">Tulis catatan berupa BUKTI, bukan kesan. 'Bisa pakai QGIS, pernah petakan tutupan karang' lebih berguna daripada 'terampil'.</t>
  </si>
  <si>
    <t xml:space="preserve">SKALA PENILAIAN</t>
  </si>
  <si>
    <t xml:space="preserve">5</t>
  </si>
  <si>
    <t xml:space="preserve">Istimewa - jauh di atas harapan untuk mahasiswa S1</t>
  </si>
  <si>
    <t xml:space="preserve">4</t>
  </si>
  <si>
    <t xml:space="preserve">Baik - di atas rata-rata, siap dilepas dengan pengawasan ringan</t>
  </si>
  <si>
    <t xml:space="preserve">3</t>
  </si>
  <si>
    <t xml:space="preserve">Cukup - memenuhi harapan dasar, perlu bimbingan normal</t>
  </si>
  <si>
    <t xml:space="preserve">2</t>
  </si>
  <si>
    <t xml:space="preserve">Kurang - ada celah yang perlu dilatih sebelum masuk kegiatan inti</t>
  </si>
  <si>
    <t xml:space="preserve">1</t>
  </si>
  <si>
    <t xml:space="preserve">Sangat kurang - tidak memenuhi syarat dasar</t>
  </si>
  <si>
    <t xml:space="preserve">AMBANG KEPUTUSAN</t>
  </si>
  <si>
    <t xml:space="preserve">&gt;= 4,00</t>
  </si>
  <si>
    <t xml:space="preserve">Sangat direkomendasikan</t>
  </si>
  <si>
    <t xml:space="preserve">3,25 - 3,99</t>
  </si>
  <si>
    <t xml:space="preserve">Direkomendasikan</t>
  </si>
  <si>
    <t xml:space="preserve">2,50 - 3,24</t>
  </si>
  <si>
    <t xml:space="preserve">Dipertimbangkan - butuh pendampingan lebih</t>
  </si>
  <si>
    <t xml:space="preserve">&lt; 2,50</t>
  </si>
  <si>
    <t xml:space="preserve">Belum direkomendasikan</t>
  </si>
  <si>
    <t xml:space="preserve">CATATAN PENTING</t>
  </si>
  <si>
    <t xml:space="preserve">!</t>
  </si>
  <si>
    <t xml:space="preserve">Bobot kriteria ada di tiap lembar penilaian dan boleh diubah, asalkan totalnya tetap 100%.</t>
  </si>
  <si>
    <t xml:space="preserve">Prima dan Ridho statusnya sudah APPROVED. Bagi keduanya wawancara ini untuk PENEMPATAN, bukan seleksi ulang.</t>
  </si>
  <si>
    <t xml:space="preserve">Debora, Christian, dan Hanna sudah bergabung. Nilainya dipakai untuk penempatan dan pengembangan, bukan lolos/tidak.</t>
  </si>
  <si>
    <t xml:space="preserve">Isi lembar penilaian saat wawancara berlangsung, bukan setelah semuanya selesai - ingatan memudar dan orang terakhir jadi tertimbang berbeda.</t>
  </si>
  <si>
    <t xml:space="preserve">BANK PERTANYAAN WAWANCARA</t>
  </si>
  <si>
    <t xml:space="preserve">Umum untuk seluruh lini Torgas Blue Energy. Kolom 'Yang Dicari' membantu menilai jawaban secara konsisten antar-pewawancara.</t>
  </si>
  <si>
    <t xml:space="preserve">No</t>
  </si>
  <si>
    <t xml:space="preserve">Bagian</t>
  </si>
  <si>
    <t xml:space="preserve">Pertanyaan</t>
  </si>
  <si>
    <t xml:space="preserve">Tujuan</t>
  </si>
  <si>
    <t xml:space="preserve">Yang Dicari dalam Jawaban</t>
  </si>
  <si>
    <t xml:space="preserve">Kriteria Terkait</t>
  </si>
  <si>
    <t xml:space="preserve">A. Pembuka</t>
  </si>
  <si>
    <t xml:space="preserve">Ceritakan tentang diri Anda dan apa yang membuat Anda tertarik pada ilmu kelautan.</t>
  </si>
  <si>
    <t xml:space="preserve">Mencairkan suasana, menilai cara bercerita</t>
  </si>
  <si>
    <t xml:space="preserve">Runtut, spesifik, ada alasan pribadi yang jelas - bukan jawaban hafalan</t>
  </si>
  <si>
    <t xml:space="preserve">Komunikasi</t>
  </si>
  <si>
    <t xml:space="preserve">Apa yang Anda ketahui tentang Torgas Blue Energy sebelum melamar?</t>
  </si>
  <si>
    <t xml:space="preserve">Menguji kesungguhan dan riset awal</t>
  </si>
  <si>
    <t xml:space="preserve">Menyebut hal konkret: lab Jatinangor, stasiun Pangandaran, atau salah satu bidang risetnya</t>
  </si>
  <si>
    <t xml:space="preserve">Komitmen</t>
  </si>
  <si>
    <t xml:space="preserve">B. Pemahaman Torgas</t>
  </si>
  <si>
    <t xml:space="preserve">Torgas punya dua basis: laboratorium terpadu di Jatinangor dan stasiun pesisir di Pangandaran. Menurut Anda apa beda peran keduanya?</t>
  </si>
  <si>
    <t xml:space="preserve">Menguji pemahaman alur kerja lab vs lapangan</t>
  </si>
  <si>
    <t xml:space="preserve">Paham bahwa Pangandaran untuk survei/pengambilan sampel lapangan, Jatinangor untuk analisis dan pengujian</t>
  </si>
  <si>
    <t xml:space="preserve">Pemahaman Torgas</t>
  </si>
  <si>
    <t xml:space="preserve">Torgas mengerjakan beberapa bidang sekaligus: pemantauan kualitas air, energi bersih dari biomassa laut, teknologi pemantauan otonom, dan blue carbon. Mana yang paling menarik bagi Anda, dan mengapa?</t>
  </si>
  <si>
    <t xml:space="preserve">Melihat arah minat dan kejujuran preferensi</t>
  </si>
  <si>
    <t xml:space="preserve">Memilih satu dengan alasan yang nyambung ke latar belakangnya - bukan menjawab 'semuanya menarik'</t>
  </si>
  <si>
    <t xml:space="preserve">Menurut Anda apa hubungan antara riset energi terbarukan dari laut dan konservasi ekosistem pesisir? Apakah keduanya bisa bertentangan?</t>
  </si>
  <si>
    <t xml:space="preserve">Menguji kemampuan berpikir kritis, bukan hafalan</t>
  </si>
  <si>
    <t xml:space="preserve">Berani mengakui ada potensi konflik dan memberi contoh; menghindari jawaban normatif kosong</t>
  </si>
  <si>
    <t xml:space="preserve">Berpikir kritis</t>
  </si>
  <si>
    <t xml:space="preserve">C. Dasar Keilmuan</t>
  </si>
  <si>
    <t xml:space="preserve">Sebutkan parameter kualitas air yang Anda ketahui dan jelaskan mengapa masing-masing penting.</t>
  </si>
  <si>
    <t xml:space="preserve">Menguji dasar keilmuan</t>
  </si>
  <si>
    <t xml:space="preserve">Minimal suhu, salinitas, pH, DO, kekeruhan - dan tahu arti nilainya, bukan sekadar menyebut</t>
  </si>
  <si>
    <t xml:space="preserve">Dasar keilmuan</t>
  </si>
  <si>
    <t xml:space="preserve">Logam berat seperti merkuri, timbal, dan kadmium sering diuji di sampel perairan. Mengapa logam berat berbahaya, dan bagaimana ia sampai ke tubuh manusia?</t>
  </si>
  <si>
    <t xml:space="preserve">Menguji pemahaman pencemaran dan rantai makanan</t>
  </si>
  <si>
    <t xml:space="preserve">Menyebut bioakumulasi/biomagnifikasi dan jalur konsumsi hasil laut</t>
  </si>
  <si>
    <t xml:space="preserve">Apa yang Anda pahami tentang blue carbon, dan ekosistem apa saja yang menyimpannya?</t>
  </si>
  <si>
    <t xml:space="preserve">Menguji wawasan isu iklim pesisir</t>
  </si>
  <si>
    <t xml:space="preserve">Menyebut mangrove, lamun, rawa payau; paham perannya menyimpan karbon</t>
  </si>
  <si>
    <t xml:space="preserve">Kalau Anda menemukan hasil pengukuran yang jauh berbeda dari perkiraan, apa yang Anda lakukan?</t>
  </si>
  <si>
    <t xml:space="preserve">Menguji sikap ilmiah terhadap data ganjil</t>
  </si>
  <si>
    <t xml:space="preserve">Mengulang pengukuran, memeriksa kalibrasi dan prosedur - BUKAN membuang datanya</t>
  </si>
  <si>
    <t xml:space="preserve">D. Keterampilan Lab</t>
  </si>
  <si>
    <t xml:space="preserve">Alat laboratorium apa saja yang pernah Anda gunakan sendiri? Ceritakan satu yang paling Anda kuasai.</t>
  </si>
  <si>
    <t xml:space="preserve">Memetakan keterampilan teknis nyata</t>
  </si>
  <si>
    <t xml:space="preserve">Menyebut alat spesifik dan langkah pemakaiannya; bisa membedakan 'pernah lihat' dan 'pernah pakai'</t>
  </si>
  <si>
    <t xml:space="preserve">Keterampilan teknis</t>
  </si>
  <si>
    <t xml:space="preserve">Bagaimana Anda memastikan sampel tidak terkontaminasi, sejak diambil di lapangan sampai dianalisis di lab?</t>
  </si>
  <si>
    <t xml:space="preserve">Menguji pemahaman rantai penanganan sampel</t>
  </si>
  <si>
    <t xml:space="preserve">Menyebut wadah bersih, pelabelan, pendinginan, waktu simpan, pencatatan</t>
  </si>
  <si>
    <t xml:space="preserve">Seberapa penting pencatatan dalam logbook menurut Anda? Apa yang wajib dicatat?</t>
  </si>
  <si>
    <t xml:space="preserve">Menguji ketelitian dan disiplin dokumentasi</t>
  </si>
  <si>
    <t xml:space="preserve">Tanggal, lokasi, waktu, kondisi cuaca, pelaksana, penyimpangan prosedur</t>
  </si>
  <si>
    <t xml:space="preserve">Ketelitian</t>
  </si>
  <si>
    <t xml:space="preserve">E. Kerja Lapangan</t>
  </si>
  <si>
    <t xml:space="preserve">Ceritakan pengalaman kerja lapangan Anda - di mana, mengerjakan apa, dan apa yang paling sulit.</t>
  </si>
  <si>
    <t xml:space="preserve">Menguji pengalaman nyata dan kejujuran</t>
  </si>
  <si>
    <t xml:space="preserve">Cerita konkret dengan kesulitan yang diakui; waspadai jawaban yang terlalu mulus</t>
  </si>
  <si>
    <t xml:space="preserve">Kegiatan lapangan Torgas termasuk survei pesisir dan pengambilan sampel di perairan. Apakah Anda bisa berenang? Punya sertifikasi selam?</t>
  </si>
  <si>
    <t xml:space="preserve">Menyaring kesiapan fisik dan keselamatan</t>
  </si>
  <si>
    <t xml:space="preserve">Jawaban jujur; tidak bisa selam bukan diskualifikasi, mengaku bisa padahal tidak sangat berbahaya</t>
  </si>
  <si>
    <t xml:space="preserve">Keselamatan</t>
  </si>
  <si>
    <t xml:space="preserve">Apa yang Anda lakukan kalau cuaca memburuk saat pengambilan data di laut belum selesai?</t>
  </si>
  <si>
    <t xml:space="preserve">Menguji prioritas keselamatan di atas target</t>
  </si>
  <si>
    <t xml:space="preserve">Menghentikan kegiatan dan kembali; data bisa diulang, keselamatan tidak</t>
  </si>
  <si>
    <t xml:space="preserve">Kegiatan lapangan kadang di luar jam kerja normal - subuh, akhir pekan, menginap di Pangandaran. Bagaimana kesiapan Anda?</t>
  </si>
  <si>
    <t xml:space="preserve">Mengecek ketersediaan waktu sejak awal</t>
  </si>
  <si>
    <t xml:space="preserve">Jujur soal batasan; lebih baik tahu sekarang daripada saat jadwal sudah tersusun</t>
  </si>
  <si>
    <t xml:space="preserve">F. Data &amp; Analisis</t>
  </si>
  <si>
    <t xml:space="preserve">Perangkat lunak apa yang Anda kuasai untuk mengolah data? (Excel, R, Python, QGIS, ArcGIS, lainnya)</t>
  </si>
  <si>
    <t xml:space="preserve">Memetakan kemampuan analisis</t>
  </si>
  <si>
    <t xml:space="preserve">Menyebut yang benar-benar dikuasai dan untuk apa dipakai</t>
  </si>
  <si>
    <t xml:space="preserve">Kalau diberi data mentah pengukuran selama sebulan, langkah pertama apa yang Anda lakukan?</t>
  </si>
  <si>
    <t xml:space="preserve">Menguji alur kerja analisis</t>
  </si>
  <si>
    <t xml:space="preserve">Memeriksa kelengkapan dan pencilan lebih dulu, sebelum langsung menghitung rata-rata</t>
  </si>
  <si>
    <t xml:space="preserve">Bagaimana Anda menjelaskan hasil riset kepada orang yang bukan dari bidang kelautan - misalnya nelayan atau pemerintah daerah?</t>
  </si>
  <si>
    <t xml:space="preserve">Menguji kemampuan komunikasi ilmiah</t>
  </si>
  <si>
    <t xml:space="preserve">Bisa menyederhanakan tanpa menghilangkan inti; memberi contoh nyata</t>
  </si>
  <si>
    <t xml:space="preserve">G. Kerja Sama</t>
  </si>
  <si>
    <t xml:space="preserve">Ceritakan saat Anda bekerja dalam tim dan ada anggota yang tidak mengerjakan bagiannya. Apa yang Anda lakukan?</t>
  </si>
  <si>
    <t xml:space="preserve">Menguji sikap dalam konflik tim</t>
  </si>
  <si>
    <t xml:space="preserve">Menyelesaikan langsung dan dewasa, bukan mengeluh atau mengambil alih diam-diam</t>
  </si>
  <si>
    <t xml:space="preserve">Kerja sama</t>
  </si>
  <si>
    <t xml:space="preserve">Kalau diberi tugas yang belum pernah Anda kerjakan sama sekali, apa langkah pertama Anda?</t>
  </si>
  <si>
    <t xml:space="preserve">Menguji inisiatif dan kesadaran diri</t>
  </si>
  <si>
    <t xml:space="preserve">Mencari referensi lalu bertanya - bukan diam saja, dan bukan asal jalan tanpa bertanya</t>
  </si>
  <si>
    <t xml:space="preserve">Inisiatif</t>
  </si>
  <si>
    <t xml:space="preserve">Bagaimana Anda menerima koreksi atas pekerjaan Anda?</t>
  </si>
  <si>
    <t xml:space="preserve">Menguji kematangan menerima masukan</t>
  </si>
  <si>
    <t xml:space="preserve">Contoh nyata pernah dikoreksi dan apa yang diubah setelahnya</t>
  </si>
  <si>
    <t xml:space="preserve">H. Komitmen</t>
  </si>
  <si>
    <t xml:space="preserve">Program magang ini 6 bulan. Bagaimana Anda membagi waktu dengan kuliah dan kegiatan lain?</t>
  </si>
  <si>
    <t xml:space="preserve">Menguji realisme perencanaan</t>
  </si>
  <si>
    <t xml:space="preserve">Menyebut jumlah SKS, jadwal kuliah, organisasi - rencana konkret, bukan 'pasti bisa diatur'</t>
  </si>
  <si>
    <t xml:space="preserve">Apa yang ingin Anda bawa pulang setelah 6 bulan di Torgas?</t>
  </si>
  <si>
    <t xml:space="preserve">Menguji kejelasan tujuan pribadi</t>
  </si>
  <si>
    <t xml:space="preserve">Tujuan spesifik dan terukur, bukan 'menambah pengalaman' saja</t>
  </si>
  <si>
    <t xml:space="preserve">Apakah magang ini bagian dari MBKM atau kewajiban kampus? Adakah tenggat administrasi yang perlu kami tahu?</t>
  </si>
  <si>
    <t xml:space="preserve">Menghindari kejutan administrasi di tengah jalan</t>
  </si>
  <si>
    <t xml:space="preserve">Kejelasan status, dosen pembimbing, dan berkas yang dibutuhkan kampus</t>
  </si>
  <si>
    <t xml:space="preserve">I. Penutup</t>
  </si>
  <si>
    <t xml:space="preserve">Apa yang ingin Anda tanyakan kepada kami tentang Torgas?</t>
  </si>
  <si>
    <t xml:space="preserve">Mengukur minat sesungguhnya</t>
  </si>
  <si>
    <t xml:space="preserve">Pertanyaan yang menunjukkan sudah berpikir serius; tidak bertanya sama sekali patut dicatat</t>
  </si>
  <si>
    <t xml:space="preserve">Adakah hal tentang diri Anda yang belum tergali tetapi penting kami ketahui?</t>
  </si>
  <si>
    <t xml:space="preserve">Memberi ruang hal yang terlewat</t>
  </si>
  <si>
    <t xml:space="preserve">Kadang muncul informasi penting: keterbatasan kesehatan, jadwal, atau keterampilan tersembunyi</t>
  </si>
  <si>
    <t xml:space="preserve">PENILAIAN — BERRY DZAIKRA SUHERMAN HIBATULLAH</t>
  </si>
  <si>
    <t xml:space="preserve">Isi hanya sel berlatar kuning. Nilai 1-5. Kolom Skor dan Nilai Akhir terhitung otomatis.</t>
  </si>
  <si>
    <t xml:space="preserve">Nama</t>
  </si>
  <si>
    <t xml:space="preserve">Berry Dzaikra Suherman Hibatullah</t>
  </si>
  <si>
    <t xml:space="preserve">Status</t>
  </si>
  <si>
    <t xml:space="preserve">Pelamar - PENDING</t>
  </si>
  <si>
    <t xml:space="preserve">Topik/Minat</t>
  </si>
  <si>
    <t xml:space="preserve">Analisis status pencemaran perairan, Ujung Genteng</t>
  </si>
  <si>
    <t xml:space="preserve">Tanggal wawancara</t>
  </si>
  <si>
    <t xml:space="preserve">Jam</t>
  </si>
  <si>
    <t xml:space="preserve">Pewawancara</t>
  </si>
  <si>
    <t xml:space="preserve">Kriteria</t>
  </si>
  <si>
    <t xml:space="preserve">Yang Dinilai</t>
  </si>
  <si>
    <t xml:space="preserve">Bobot</t>
  </si>
  <si>
    <t xml:space="preserve">Nilai (1-5)</t>
  </si>
  <si>
    <t xml:space="preserve">Skor Terbobot</t>
  </si>
  <si>
    <t xml:space="preserve">Tahu apa yang dikerjakan Torgas dan di mana posisinya</t>
  </si>
  <si>
    <t xml:space="preserve">Penguasaan konsep ilmu kelautan sesuai jenjangnya</t>
  </si>
  <si>
    <t xml:space="preserve">Kemampuan lab, lapangan, dan pengolahan data</t>
  </si>
  <si>
    <t xml:space="preserve">Cara menghadapi data ganjil dan masalah tak terduga</t>
  </si>
  <si>
    <t xml:space="preserve">Kesadaran prosedur dan mendahulukan keselamatan</t>
  </si>
  <si>
    <t xml:space="preserve">Kejelasan menjelaskan, termasuk ke orang non-teknis</t>
  </si>
  <si>
    <t xml:space="preserve">Sikap dalam tim dan menerima koreksi</t>
  </si>
  <si>
    <t xml:space="preserve">Kesiapan waktu selama 6 bulan dan kejelasan tujuan</t>
  </si>
  <si>
    <t xml:space="preserve">TOTAL</t>
  </si>
  <si>
    <t xml:space="preserve">Rekomendasi otomatis</t>
  </si>
  <si>
    <t xml:space="preserve">Kekuatan utama (bukti konkret)</t>
  </si>
  <si>
    <t xml:space="preserve">Hal yang perlu dikembangkan</t>
  </si>
  <si>
    <t xml:space="preserve">Catatan lain / hal administratif</t>
  </si>
  <si>
    <t xml:space="preserve">Keputusan &amp; penempatan yang disarankan</t>
  </si>
  <si>
    <t xml:space="preserve">PENILAIAN — ZAIDAN RAFI FADHLIH</t>
  </si>
  <si>
    <t xml:space="preserve">Zaidan Rafi Fadhlih</t>
  </si>
  <si>
    <t xml:space="preserve">AMDAL sebagai indikator kesehatan lingkungan budidaya</t>
  </si>
  <si>
    <t xml:space="preserve">PENILAIAN — PRIMA ARDHITO RHEZA GUNAWAN</t>
  </si>
  <si>
    <t xml:space="preserve">Prima Ardhito Rheza Gunawan</t>
  </si>
  <si>
    <t xml:space="preserve">Pelamar - APPROVED</t>
  </si>
  <si>
    <t xml:space="preserve">Conservation on marine animals/plants</t>
  </si>
  <si>
    <t xml:space="preserve">PENILAIAN — MUHAMMAD RIDHO FAZLI RABBANI</t>
  </si>
  <si>
    <t xml:space="preserve">Muhammad Ridho Fazli Rabbani</t>
  </si>
  <si>
    <t xml:space="preserve">Coral Reefs</t>
  </si>
  <si>
    <t xml:space="preserve">PENILAIAN — DEBORA ARTA Y. SINAGA</t>
  </si>
  <si>
    <t xml:space="preserve">Debora Arta Y. Sinaga</t>
  </si>
  <si>
    <t xml:space="preserve">Sudah bergabung</t>
  </si>
  <si>
    <t xml:space="preserve">Ekosistem pesisir, mikrobiologi &amp; genetika akuatik</t>
  </si>
  <si>
    <t xml:space="preserve">PENILAIAN — CHRISTIAN NATHANIEL RAJA GUK-GUK</t>
  </si>
  <si>
    <t xml:space="preserve">Christian Nathaniel Raja Guk-Guk</t>
  </si>
  <si>
    <t xml:space="preserve">Marine debris survey &amp; field sampling</t>
  </si>
  <si>
    <t xml:space="preserve">PENILAIAN — HANNA FEBBRYANTI SIBURIAN</t>
  </si>
  <si>
    <t xml:space="preserve">Hanna Febbryanti Siburian</t>
  </si>
  <si>
    <t xml:space="preserve">Ekosistem terumbu karang &amp; scientific diving</t>
  </si>
  <si>
    <t xml:space="preserve">REKAP PERBANDINGAN</t>
  </si>
  <si>
    <t xml:space="preserve">Terisi otomatis dari lembar penilaian masing-masing. Jangan diketik manual.</t>
  </si>
  <si>
    <t xml:space="preserve">Topik / Minat</t>
  </si>
  <si>
    <t xml:space="preserve">Nilai Akhir</t>
  </si>
  <si>
    <t xml:space="preserve">Rekomendasi</t>
  </si>
  <si>
    <t xml:space="preserve">Catatan: Nilai Akhir kosong berarti lembar orang tersebut belum diisi.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</si>
</sst>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475569"/>
      <name val="Arial"/>
      <family val="0"/>
      <charset val="1"/>
    </font>
    <font>
      <b val="true"/>
      <sz val="10"/>
      <color rgb="FF041B2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41B2E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AD26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41B2E"/>
        <bgColor rgb="FF000000"/>
      </patternFill>
    </fill>
    <fill>
      <patternFill patternType="solid">
        <fgColor rgb="FF0096D7"/>
        <bgColor rgb="FF008080"/>
      </patternFill>
    </fill>
    <fill>
      <patternFill patternType="solid">
        <fgColor rgb="FFF1F5F9"/>
        <bgColor rgb="FFFFFFFF"/>
      </patternFill>
    </fill>
    <fill>
      <patternFill patternType="solid">
        <fgColor rgb="FFFFF9D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D7"/>
      <rgbColor rgb="FFC0C0C0"/>
      <rgbColor rgb="FF808080"/>
      <rgbColor rgb="FF9999FF"/>
      <rgbColor rgb="FF993366"/>
      <rgbColor rgb="FFFFF9DB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D26"/>
      <rgbColor rgb="FFFF6600"/>
      <rgbColor rgb="FF475569"/>
      <rgbColor rgb="FF969696"/>
      <rgbColor rgb="FF003366"/>
      <rgbColor rgb="FF339966"/>
      <rgbColor rgb="FF041B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6" min="2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/>
      <c r="B4" s="4"/>
      <c r="C4" s="4"/>
      <c r="D4" s="4"/>
      <c r="E4" s="4"/>
      <c r="F4" s="4"/>
    </row>
    <row r="5" customFormat="false" ht="15" hidden="false" customHeight="false" outlineLevel="0" collapsed="false">
      <c r="A5" s="3" t="s">
        <v>2</v>
      </c>
      <c r="B5" s="4"/>
      <c r="C5" s="4"/>
      <c r="D5" s="4"/>
      <c r="E5" s="4"/>
      <c r="F5" s="4"/>
    </row>
    <row r="6" customFormat="false" ht="15" hidden="false" customHeight="true" outlineLevel="0" collapsed="false">
      <c r="A6" s="3" t="s">
        <v>3</v>
      </c>
      <c r="B6" s="4" t="s">
        <v>4</v>
      </c>
      <c r="C6" s="4"/>
      <c r="D6" s="4"/>
      <c r="E6" s="4"/>
      <c r="F6" s="4"/>
    </row>
    <row r="7" customFormat="false" ht="15" hidden="false" customHeight="true" outlineLevel="0" collapsed="false">
      <c r="A7" s="3" t="s">
        <v>5</v>
      </c>
      <c r="B7" s="4" t="s">
        <v>6</v>
      </c>
      <c r="C7" s="4"/>
      <c r="D7" s="4"/>
      <c r="E7" s="4"/>
      <c r="F7" s="4"/>
    </row>
    <row r="8" customFormat="false" ht="15" hidden="false" customHeight="true" outlineLevel="0" collapsed="false">
      <c r="A8" s="3" t="s">
        <v>7</v>
      </c>
      <c r="B8" s="4" t="s">
        <v>8</v>
      </c>
      <c r="C8" s="4"/>
      <c r="D8" s="4"/>
      <c r="E8" s="4"/>
      <c r="F8" s="4"/>
    </row>
    <row r="9" customFormat="false" ht="15" hidden="false" customHeight="true" outlineLevel="0" collapsed="false">
      <c r="A9" s="3" t="s">
        <v>9</v>
      </c>
      <c r="B9" s="4" t="s">
        <v>10</v>
      </c>
      <c r="C9" s="4"/>
      <c r="D9" s="4"/>
      <c r="E9" s="4"/>
      <c r="F9" s="4"/>
    </row>
    <row r="10" customFormat="false" ht="15" hidden="false" customHeight="false" outlineLevel="0" collapsed="false">
      <c r="A10" s="3"/>
      <c r="B10" s="4"/>
      <c r="C10" s="4"/>
      <c r="D10" s="4"/>
      <c r="E10" s="4"/>
      <c r="F10" s="4"/>
    </row>
    <row r="11" customFormat="false" ht="23.85" hidden="false" customHeight="false" outlineLevel="0" collapsed="false">
      <c r="A11" s="3" t="s">
        <v>11</v>
      </c>
      <c r="B11" s="4"/>
      <c r="C11" s="4"/>
      <c r="D11" s="4"/>
      <c r="E11" s="4"/>
      <c r="F11" s="4"/>
    </row>
    <row r="12" customFormat="false" ht="15" hidden="false" customHeight="true" outlineLevel="0" collapsed="false">
      <c r="A12" s="5" t="s">
        <v>12</v>
      </c>
      <c r="B12" s="4" t="s">
        <v>13</v>
      </c>
      <c r="C12" s="4"/>
      <c r="D12" s="4"/>
      <c r="E12" s="4"/>
      <c r="F12" s="4"/>
    </row>
    <row r="13" customFormat="false" ht="15" hidden="false" customHeight="true" outlineLevel="0" collapsed="false">
      <c r="A13" s="5" t="s">
        <v>14</v>
      </c>
      <c r="B13" s="4" t="s">
        <v>15</v>
      </c>
      <c r="C13" s="4"/>
      <c r="D13" s="4"/>
      <c r="E13" s="4"/>
      <c r="F13" s="4"/>
    </row>
    <row r="14" customFormat="false" ht="15" hidden="false" customHeight="true" outlineLevel="0" collapsed="false">
      <c r="A14" s="5" t="s">
        <v>16</v>
      </c>
      <c r="B14" s="4" t="s">
        <v>17</v>
      </c>
      <c r="C14" s="4"/>
      <c r="D14" s="4"/>
      <c r="E14" s="4"/>
      <c r="F14" s="4"/>
    </row>
    <row r="15" customFormat="false" ht="15" hidden="false" customHeight="true" outlineLevel="0" collapsed="false">
      <c r="A15" s="5" t="s">
        <v>18</v>
      </c>
      <c r="B15" s="4" t="s">
        <v>19</v>
      </c>
      <c r="C15" s="4"/>
      <c r="D15" s="4"/>
      <c r="E15" s="4"/>
      <c r="F15" s="4"/>
    </row>
    <row r="16" customFormat="false" ht="15" hidden="false" customHeight="true" outlineLevel="0" collapsed="false">
      <c r="A16" s="5" t="s">
        <v>20</v>
      </c>
      <c r="B16" s="4" t="s">
        <v>21</v>
      </c>
      <c r="C16" s="4"/>
      <c r="D16" s="4"/>
      <c r="E16" s="4"/>
      <c r="F16" s="4"/>
    </row>
    <row r="17" customFormat="false" ht="15" hidden="false" customHeight="false" outlineLevel="0" collapsed="false">
      <c r="A17" s="3"/>
      <c r="B17" s="4"/>
      <c r="C17" s="4"/>
      <c r="D17" s="4"/>
      <c r="E17" s="4"/>
      <c r="F17" s="4"/>
    </row>
    <row r="18" customFormat="false" ht="23.85" hidden="false" customHeight="false" outlineLevel="0" collapsed="false">
      <c r="A18" s="3" t="s">
        <v>22</v>
      </c>
      <c r="B18" s="4"/>
      <c r="C18" s="4"/>
      <c r="D18" s="4"/>
      <c r="E18" s="4"/>
      <c r="F18" s="4"/>
    </row>
    <row r="19" customFormat="false" ht="15" hidden="false" customHeight="true" outlineLevel="0" collapsed="false">
      <c r="A19" s="3" t="s">
        <v>23</v>
      </c>
      <c r="B19" s="4" t="s">
        <v>24</v>
      </c>
      <c r="C19" s="4"/>
      <c r="D19" s="4"/>
      <c r="E19" s="4"/>
      <c r="F19" s="4"/>
    </row>
    <row r="20" customFormat="false" ht="15" hidden="false" customHeight="true" outlineLevel="0" collapsed="false">
      <c r="A20" s="3" t="s">
        <v>25</v>
      </c>
      <c r="B20" s="4" t="s">
        <v>26</v>
      </c>
      <c r="C20" s="4"/>
      <c r="D20" s="4"/>
      <c r="E20" s="4"/>
      <c r="F20" s="4"/>
    </row>
    <row r="21" customFormat="false" ht="15" hidden="false" customHeight="true" outlineLevel="0" collapsed="false">
      <c r="A21" s="3" t="s">
        <v>27</v>
      </c>
      <c r="B21" s="4" t="s">
        <v>28</v>
      </c>
      <c r="C21" s="4"/>
      <c r="D21" s="4"/>
      <c r="E21" s="4"/>
      <c r="F21" s="4"/>
    </row>
    <row r="22" customFormat="false" ht="15" hidden="false" customHeight="true" outlineLevel="0" collapsed="false">
      <c r="A22" s="3" t="s">
        <v>29</v>
      </c>
      <c r="B22" s="4" t="s">
        <v>30</v>
      </c>
      <c r="C22" s="4"/>
      <c r="D22" s="4"/>
      <c r="E22" s="4"/>
      <c r="F22" s="4"/>
    </row>
    <row r="23" customFormat="false" ht="15" hidden="false" customHeight="false" outlineLevel="0" collapsed="false">
      <c r="A23" s="3"/>
      <c r="B23" s="4"/>
      <c r="C23" s="4"/>
      <c r="D23" s="4"/>
      <c r="E23" s="4"/>
      <c r="F23" s="4"/>
    </row>
    <row r="24" customFormat="false" ht="23.85" hidden="false" customHeight="false" outlineLevel="0" collapsed="false">
      <c r="A24" s="3" t="s">
        <v>31</v>
      </c>
      <c r="B24" s="4"/>
      <c r="C24" s="4"/>
      <c r="D24" s="4"/>
      <c r="E24" s="4"/>
      <c r="F24" s="4"/>
    </row>
    <row r="25" customFormat="false" ht="15" hidden="false" customHeight="true" outlineLevel="0" collapsed="false">
      <c r="A25" s="3" t="s">
        <v>32</v>
      </c>
      <c r="B25" s="4" t="s">
        <v>33</v>
      </c>
      <c r="C25" s="4"/>
      <c r="D25" s="4"/>
      <c r="E25" s="4"/>
      <c r="F25" s="4"/>
    </row>
    <row r="26" customFormat="false" ht="15" hidden="false" customHeight="true" outlineLevel="0" collapsed="false">
      <c r="A26" s="3" t="s">
        <v>32</v>
      </c>
      <c r="B26" s="4" t="s">
        <v>34</v>
      </c>
      <c r="C26" s="4"/>
      <c r="D26" s="4"/>
      <c r="E26" s="4"/>
      <c r="F26" s="4"/>
    </row>
    <row r="27" customFormat="false" ht="15" hidden="false" customHeight="true" outlineLevel="0" collapsed="false">
      <c r="A27" s="3" t="s">
        <v>32</v>
      </c>
      <c r="B27" s="4" t="s">
        <v>35</v>
      </c>
      <c r="C27" s="4"/>
      <c r="D27" s="4"/>
      <c r="E27" s="4"/>
      <c r="F27" s="4"/>
    </row>
    <row r="28" customFormat="false" ht="23.85" hidden="false" customHeight="true" outlineLevel="0" collapsed="false">
      <c r="A28" s="3" t="s">
        <v>32</v>
      </c>
      <c r="B28" s="4" t="s">
        <v>36</v>
      </c>
      <c r="C28" s="4"/>
      <c r="D28" s="4"/>
      <c r="E28" s="4"/>
      <c r="F28" s="4"/>
    </row>
  </sheetData>
  <mergeCells count="27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2"/>
    <col collapsed="false" customWidth="true" hidden="false" outlineLevel="0" max="4" min="4" style="0" width="30"/>
    <col collapsed="false" customWidth="true" hidden="false" outlineLevel="0" max="5" min="5" style="0" width="46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" t="s">
        <v>37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38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6" t="s">
        <v>39</v>
      </c>
      <c r="B4" s="6" t="s">
        <v>40</v>
      </c>
      <c r="C4" s="6" t="s">
        <v>41</v>
      </c>
      <c r="D4" s="6" t="s">
        <v>42</v>
      </c>
      <c r="E4" s="6" t="s">
        <v>43</v>
      </c>
      <c r="F4" s="6" t="s">
        <v>44</v>
      </c>
    </row>
    <row r="5" customFormat="false" ht="42" hidden="false" customHeight="true" outlineLevel="0" collapsed="false">
      <c r="A5" s="7" t="n">
        <v>1</v>
      </c>
      <c r="B5" s="8" t="s">
        <v>45</v>
      </c>
      <c r="C5" s="7" t="s">
        <v>46</v>
      </c>
      <c r="D5" s="7" t="s">
        <v>47</v>
      </c>
      <c r="E5" s="7" t="s">
        <v>48</v>
      </c>
      <c r="F5" s="7" t="s">
        <v>49</v>
      </c>
    </row>
    <row r="6" customFormat="false" ht="42" hidden="false" customHeight="true" outlineLevel="0" collapsed="false">
      <c r="A6" s="7" t="n">
        <v>2</v>
      </c>
      <c r="B6" s="8" t="s">
        <v>45</v>
      </c>
      <c r="C6" s="7" t="s">
        <v>50</v>
      </c>
      <c r="D6" s="7" t="s">
        <v>51</v>
      </c>
      <c r="E6" s="7" t="s">
        <v>52</v>
      </c>
      <c r="F6" s="7" t="s">
        <v>53</v>
      </c>
    </row>
    <row r="7" customFormat="false" ht="42" hidden="false" customHeight="true" outlineLevel="0" collapsed="false">
      <c r="A7" s="9" t="n">
        <v>3</v>
      </c>
      <c r="B7" s="10" t="s">
        <v>54</v>
      </c>
      <c r="C7" s="9" t="s">
        <v>55</v>
      </c>
      <c r="D7" s="9" t="s">
        <v>56</v>
      </c>
      <c r="E7" s="9" t="s">
        <v>57</v>
      </c>
      <c r="F7" s="9" t="s">
        <v>58</v>
      </c>
    </row>
    <row r="8" customFormat="false" ht="42" hidden="false" customHeight="true" outlineLevel="0" collapsed="false">
      <c r="A8" s="9" t="n">
        <v>4</v>
      </c>
      <c r="B8" s="10" t="s">
        <v>54</v>
      </c>
      <c r="C8" s="9" t="s">
        <v>59</v>
      </c>
      <c r="D8" s="9" t="s">
        <v>60</v>
      </c>
      <c r="E8" s="9" t="s">
        <v>61</v>
      </c>
      <c r="F8" s="9" t="s">
        <v>58</v>
      </c>
    </row>
    <row r="9" customFormat="false" ht="42" hidden="false" customHeight="true" outlineLevel="0" collapsed="false">
      <c r="A9" s="9" t="n">
        <v>5</v>
      </c>
      <c r="B9" s="10" t="s">
        <v>54</v>
      </c>
      <c r="C9" s="9" t="s">
        <v>62</v>
      </c>
      <c r="D9" s="9" t="s">
        <v>63</v>
      </c>
      <c r="E9" s="9" t="s">
        <v>64</v>
      </c>
      <c r="F9" s="9" t="s">
        <v>65</v>
      </c>
    </row>
    <row r="10" customFormat="false" ht="42" hidden="false" customHeight="true" outlineLevel="0" collapsed="false">
      <c r="A10" s="7" t="n">
        <v>6</v>
      </c>
      <c r="B10" s="8" t="s">
        <v>66</v>
      </c>
      <c r="C10" s="7" t="s">
        <v>67</v>
      </c>
      <c r="D10" s="7" t="s">
        <v>68</v>
      </c>
      <c r="E10" s="7" t="s">
        <v>69</v>
      </c>
      <c r="F10" s="7" t="s">
        <v>70</v>
      </c>
    </row>
    <row r="11" customFormat="false" ht="42" hidden="false" customHeight="true" outlineLevel="0" collapsed="false">
      <c r="A11" s="7" t="n">
        <v>7</v>
      </c>
      <c r="B11" s="8" t="s">
        <v>66</v>
      </c>
      <c r="C11" s="7" t="s">
        <v>71</v>
      </c>
      <c r="D11" s="7" t="s">
        <v>72</v>
      </c>
      <c r="E11" s="7" t="s">
        <v>73</v>
      </c>
      <c r="F11" s="7" t="s">
        <v>70</v>
      </c>
    </row>
    <row r="12" customFormat="false" ht="42" hidden="false" customHeight="true" outlineLevel="0" collapsed="false">
      <c r="A12" s="7" t="n">
        <v>8</v>
      </c>
      <c r="B12" s="8" t="s">
        <v>66</v>
      </c>
      <c r="C12" s="7" t="s">
        <v>74</v>
      </c>
      <c r="D12" s="7" t="s">
        <v>75</v>
      </c>
      <c r="E12" s="7" t="s">
        <v>76</v>
      </c>
      <c r="F12" s="7" t="s">
        <v>70</v>
      </c>
    </row>
    <row r="13" customFormat="false" ht="42" hidden="false" customHeight="true" outlineLevel="0" collapsed="false">
      <c r="A13" s="7" t="n">
        <v>9</v>
      </c>
      <c r="B13" s="8" t="s">
        <v>66</v>
      </c>
      <c r="C13" s="7" t="s">
        <v>77</v>
      </c>
      <c r="D13" s="7" t="s">
        <v>78</v>
      </c>
      <c r="E13" s="7" t="s">
        <v>79</v>
      </c>
      <c r="F13" s="7" t="s">
        <v>65</v>
      </c>
    </row>
    <row r="14" customFormat="false" ht="42" hidden="false" customHeight="true" outlineLevel="0" collapsed="false">
      <c r="A14" s="9" t="n">
        <v>10</v>
      </c>
      <c r="B14" s="10" t="s">
        <v>80</v>
      </c>
      <c r="C14" s="9" t="s">
        <v>81</v>
      </c>
      <c r="D14" s="9" t="s">
        <v>82</v>
      </c>
      <c r="E14" s="9" t="s">
        <v>83</v>
      </c>
      <c r="F14" s="9" t="s">
        <v>84</v>
      </c>
    </row>
    <row r="15" customFormat="false" ht="42" hidden="false" customHeight="true" outlineLevel="0" collapsed="false">
      <c r="A15" s="9" t="n">
        <v>11</v>
      </c>
      <c r="B15" s="10" t="s">
        <v>80</v>
      </c>
      <c r="C15" s="9" t="s">
        <v>85</v>
      </c>
      <c r="D15" s="9" t="s">
        <v>86</v>
      </c>
      <c r="E15" s="9" t="s">
        <v>87</v>
      </c>
      <c r="F15" s="9" t="s">
        <v>84</v>
      </c>
    </row>
    <row r="16" customFormat="false" ht="42" hidden="false" customHeight="true" outlineLevel="0" collapsed="false">
      <c r="A16" s="9" t="n">
        <v>12</v>
      </c>
      <c r="B16" s="10" t="s">
        <v>80</v>
      </c>
      <c r="C16" s="9" t="s">
        <v>88</v>
      </c>
      <c r="D16" s="9" t="s">
        <v>89</v>
      </c>
      <c r="E16" s="9" t="s">
        <v>90</v>
      </c>
      <c r="F16" s="9" t="s">
        <v>91</v>
      </c>
    </row>
    <row r="17" customFormat="false" ht="42" hidden="false" customHeight="true" outlineLevel="0" collapsed="false">
      <c r="A17" s="7" t="n">
        <v>13</v>
      </c>
      <c r="B17" s="8" t="s">
        <v>92</v>
      </c>
      <c r="C17" s="7" t="s">
        <v>93</v>
      </c>
      <c r="D17" s="7" t="s">
        <v>94</v>
      </c>
      <c r="E17" s="7" t="s">
        <v>95</v>
      </c>
      <c r="F17" s="7" t="s">
        <v>84</v>
      </c>
    </row>
    <row r="18" customFormat="false" ht="42" hidden="false" customHeight="true" outlineLevel="0" collapsed="false">
      <c r="A18" s="7" t="n">
        <v>14</v>
      </c>
      <c r="B18" s="8" t="s">
        <v>92</v>
      </c>
      <c r="C18" s="7" t="s">
        <v>96</v>
      </c>
      <c r="D18" s="7" t="s">
        <v>97</v>
      </c>
      <c r="E18" s="7" t="s">
        <v>98</v>
      </c>
      <c r="F18" s="7" t="s">
        <v>99</v>
      </c>
    </row>
    <row r="19" customFormat="false" ht="42" hidden="false" customHeight="true" outlineLevel="0" collapsed="false">
      <c r="A19" s="7" t="n">
        <v>15</v>
      </c>
      <c r="B19" s="8" t="s">
        <v>92</v>
      </c>
      <c r="C19" s="7" t="s">
        <v>100</v>
      </c>
      <c r="D19" s="7" t="s">
        <v>101</v>
      </c>
      <c r="E19" s="7" t="s">
        <v>102</v>
      </c>
      <c r="F19" s="7" t="s">
        <v>99</v>
      </c>
    </row>
    <row r="20" customFormat="false" ht="42" hidden="false" customHeight="true" outlineLevel="0" collapsed="false">
      <c r="A20" s="7" t="n">
        <v>16</v>
      </c>
      <c r="B20" s="8" t="s">
        <v>92</v>
      </c>
      <c r="C20" s="7" t="s">
        <v>103</v>
      </c>
      <c r="D20" s="7" t="s">
        <v>104</v>
      </c>
      <c r="E20" s="7" t="s">
        <v>105</v>
      </c>
      <c r="F20" s="7" t="s">
        <v>53</v>
      </c>
    </row>
    <row r="21" customFormat="false" ht="42" hidden="false" customHeight="true" outlineLevel="0" collapsed="false">
      <c r="A21" s="9" t="n">
        <v>17</v>
      </c>
      <c r="B21" s="10" t="s">
        <v>106</v>
      </c>
      <c r="C21" s="9" t="s">
        <v>107</v>
      </c>
      <c r="D21" s="9" t="s">
        <v>108</v>
      </c>
      <c r="E21" s="9" t="s">
        <v>109</v>
      </c>
      <c r="F21" s="9" t="s">
        <v>84</v>
      </c>
    </row>
    <row r="22" customFormat="false" ht="42" hidden="false" customHeight="true" outlineLevel="0" collapsed="false">
      <c r="A22" s="9" t="n">
        <v>18</v>
      </c>
      <c r="B22" s="10" t="s">
        <v>106</v>
      </c>
      <c r="C22" s="9" t="s">
        <v>110</v>
      </c>
      <c r="D22" s="9" t="s">
        <v>111</v>
      </c>
      <c r="E22" s="9" t="s">
        <v>112</v>
      </c>
      <c r="F22" s="9" t="s">
        <v>65</v>
      </c>
    </row>
    <row r="23" customFormat="false" ht="42" hidden="false" customHeight="true" outlineLevel="0" collapsed="false">
      <c r="A23" s="9" t="n">
        <v>19</v>
      </c>
      <c r="B23" s="10" t="s">
        <v>106</v>
      </c>
      <c r="C23" s="9" t="s">
        <v>113</v>
      </c>
      <c r="D23" s="9" t="s">
        <v>114</v>
      </c>
      <c r="E23" s="9" t="s">
        <v>115</v>
      </c>
      <c r="F23" s="9" t="s">
        <v>49</v>
      </c>
    </row>
    <row r="24" customFormat="false" ht="42" hidden="false" customHeight="true" outlineLevel="0" collapsed="false">
      <c r="A24" s="7" t="n">
        <v>20</v>
      </c>
      <c r="B24" s="8" t="s">
        <v>116</v>
      </c>
      <c r="C24" s="7" t="s">
        <v>117</v>
      </c>
      <c r="D24" s="7" t="s">
        <v>118</v>
      </c>
      <c r="E24" s="7" t="s">
        <v>119</v>
      </c>
      <c r="F24" s="7" t="s">
        <v>120</v>
      </c>
    </row>
    <row r="25" customFormat="false" ht="42" hidden="false" customHeight="true" outlineLevel="0" collapsed="false">
      <c r="A25" s="7" t="n">
        <v>21</v>
      </c>
      <c r="B25" s="8" t="s">
        <v>116</v>
      </c>
      <c r="C25" s="7" t="s">
        <v>121</v>
      </c>
      <c r="D25" s="7" t="s">
        <v>122</v>
      </c>
      <c r="E25" s="7" t="s">
        <v>123</v>
      </c>
      <c r="F25" s="7" t="s">
        <v>124</v>
      </c>
    </row>
    <row r="26" customFormat="false" ht="42" hidden="false" customHeight="true" outlineLevel="0" collapsed="false">
      <c r="A26" s="7" t="n">
        <v>22</v>
      </c>
      <c r="B26" s="8" t="s">
        <v>116</v>
      </c>
      <c r="C26" s="7" t="s">
        <v>125</v>
      </c>
      <c r="D26" s="7" t="s">
        <v>126</v>
      </c>
      <c r="E26" s="7" t="s">
        <v>127</v>
      </c>
      <c r="F26" s="7" t="s">
        <v>124</v>
      </c>
    </row>
    <row r="27" customFormat="false" ht="42" hidden="false" customHeight="true" outlineLevel="0" collapsed="false">
      <c r="A27" s="9" t="n">
        <v>23</v>
      </c>
      <c r="B27" s="10" t="s">
        <v>128</v>
      </c>
      <c r="C27" s="9" t="s">
        <v>129</v>
      </c>
      <c r="D27" s="9" t="s">
        <v>130</v>
      </c>
      <c r="E27" s="9" t="s">
        <v>131</v>
      </c>
      <c r="F27" s="9" t="s">
        <v>53</v>
      </c>
    </row>
    <row r="28" customFormat="false" ht="42" hidden="false" customHeight="true" outlineLevel="0" collapsed="false">
      <c r="A28" s="9" t="n">
        <v>24</v>
      </c>
      <c r="B28" s="10" t="s">
        <v>128</v>
      </c>
      <c r="C28" s="9" t="s">
        <v>132</v>
      </c>
      <c r="D28" s="9" t="s">
        <v>133</v>
      </c>
      <c r="E28" s="9" t="s">
        <v>134</v>
      </c>
      <c r="F28" s="9" t="s">
        <v>53</v>
      </c>
    </row>
    <row r="29" customFormat="false" ht="42" hidden="false" customHeight="true" outlineLevel="0" collapsed="false">
      <c r="A29" s="9" t="n">
        <v>25</v>
      </c>
      <c r="B29" s="10" t="s">
        <v>128</v>
      </c>
      <c r="C29" s="9" t="s">
        <v>135</v>
      </c>
      <c r="D29" s="9" t="s">
        <v>136</v>
      </c>
      <c r="E29" s="9" t="s">
        <v>137</v>
      </c>
      <c r="F29" s="9" t="s">
        <v>53</v>
      </c>
    </row>
    <row r="30" customFormat="false" ht="42" hidden="false" customHeight="true" outlineLevel="0" collapsed="false">
      <c r="A30" s="7" t="n">
        <v>26</v>
      </c>
      <c r="B30" s="8" t="s">
        <v>138</v>
      </c>
      <c r="C30" s="7" t="s">
        <v>139</v>
      </c>
      <c r="D30" s="7" t="s">
        <v>140</v>
      </c>
      <c r="E30" s="7" t="s">
        <v>141</v>
      </c>
      <c r="F30" s="7" t="s">
        <v>53</v>
      </c>
    </row>
    <row r="31" customFormat="false" ht="42" hidden="false" customHeight="true" outlineLevel="0" collapsed="false">
      <c r="A31" s="7" t="n">
        <v>27</v>
      </c>
      <c r="B31" s="8" t="s">
        <v>138</v>
      </c>
      <c r="C31" s="7" t="s">
        <v>142</v>
      </c>
      <c r="D31" s="7" t="s">
        <v>143</v>
      </c>
      <c r="E31" s="7" t="s">
        <v>144</v>
      </c>
      <c r="F31" s="7" t="s">
        <v>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145</v>
      </c>
      <c r="B1" s="1"/>
      <c r="C1" s="1"/>
      <c r="D1" s="1"/>
      <c r="E1" s="1"/>
    </row>
    <row r="2" customFormat="false" ht="18" hidden="false" customHeight="true" outlineLevel="0" collapsed="false">
      <c r="A2" s="2" t="s">
        <v>146</v>
      </c>
      <c r="B2" s="2"/>
      <c r="C2" s="2"/>
      <c r="D2" s="2"/>
      <c r="E2" s="2"/>
    </row>
    <row r="4" customFormat="false" ht="15" hidden="false" customHeight="true" outlineLevel="0" collapsed="false">
      <c r="A4" s="11" t="s">
        <v>147</v>
      </c>
      <c r="B4" s="12" t="s">
        <v>148</v>
      </c>
      <c r="C4" s="12"/>
      <c r="D4" s="12"/>
      <c r="E4" s="12"/>
    </row>
    <row r="5" customFormat="false" ht="15" hidden="false" customHeight="true" outlineLevel="0" collapsed="false">
      <c r="A5" s="11" t="s">
        <v>149</v>
      </c>
      <c r="B5" s="12" t="s">
        <v>150</v>
      </c>
      <c r="C5" s="12"/>
      <c r="D5" s="12"/>
      <c r="E5" s="12"/>
    </row>
    <row r="6" customFormat="false" ht="15" hidden="false" customHeight="true" outlineLevel="0" collapsed="false">
      <c r="A6" s="11" t="s">
        <v>151</v>
      </c>
      <c r="B6" s="12" t="s">
        <v>152</v>
      </c>
      <c r="C6" s="12"/>
      <c r="D6" s="12"/>
      <c r="E6" s="12"/>
    </row>
    <row r="7" customFormat="false" ht="15" hidden="false" customHeight="false" outlineLevel="0" collapsed="false">
      <c r="A7" s="11" t="s">
        <v>153</v>
      </c>
      <c r="B7" s="13"/>
      <c r="C7" s="13"/>
      <c r="D7" s="13"/>
      <c r="E7" s="13"/>
    </row>
    <row r="8" customFormat="false" ht="15" hidden="false" customHeight="false" outlineLevel="0" collapsed="false">
      <c r="A8" s="11" t="s">
        <v>154</v>
      </c>
      <c r="B8" s="13"/>
      <c r="C8" s="13"/>
      <c r="D8" s="13"/>
      <c r="E8" s="13"/>
    </row>
    <row r="9" customFormat="false" ht="15" hidden="false" customHeight="false" outlineLevel="0" collapsed="false">
      <c r="A9" s="11" t="s">
        <v>155</v>
      </c>
      <c r="B9" s="13"/>
      <c r="C9" s="13"/>
      <c r="D9" s="13"/>
      <c r="E9" s="13"/>
    </row>
    <row r="11" customFormat="false" ht="27.75" hidden="false" customHeight="true" outlineLevel="0" collapsed="false">
      <c r="A11" s="6" t="s">
        <v>156</v>
      </c>
      <c r="B11" s="6" t="s">
        <v>157</v>
      </c>
      <c r="C11" s="6" t="s">
        <v>158</v>
      </c>
      <c r="D11" s="6" t="s">
        <v>159</v>
      </c>
      <c r="E11" s="6" t="s">
        <v>160</v>
      </c>
    </row>
    <row r="12" customFormat="false" ht="30" hidden="false" customHeight="true" outlineLevel="0" collapsed="false">
      <c r="A12" s="14" t="s">
        <v>58</v>
      </c>
      <c r="B12" s="7" t="s">
        <v>161</v>
      </c>
      <c r="C12" s="15" t="n">
        <v>0.1</v>
      </c>
      <c r="D12" s="16"/>
      <c r="E12" s="17" t="str">
        <f aca="false">IF(D12="","",C12*D12)</f>
        <v/>
      </c>
    </row>
    <row r="13" customFormat="false" ht="30" hidden="false" customHeight="true" outlineLevel="0" collapsed="false">
      <c r="A13" s="14" t="s">
        <v>70</v>
      </c>
      <c r="B13" s="7" t="s">
        <v>162</v>
      </c>
      <c r="C13" s="15" t="n">
        <v>0.15</v>
      </c>
      <c r="D13" s="16"/>
      <c r="E13" s="17" t="str">
        <f aca="false">IF(D13="","",C13*D13)</f>
        <v/>
      </c>
    </row>
    <row r="14" customFormat="false" ht="30" hidden="false" customHeight="true" outlineLevel="0" collapsed="false">
      <c r="A14" s="14" t="s">
        <v>84</v>
      </c>
      <c r="B14" s="7" t="s">
        <v>163</v>
      </c>
      <c r="C14" s="15" t="n">
        <v>0.2</v>
      </c>
      <c r="D14" s="16"/>
      <c r="E14" s="17" t="str">
        <f aca="false">IF(D14="","",C14*D14)</f>
        <v/>
      </c>
    </row>
    <row r="15" customFormat="false" ht="30" hidden="false" customHeight="true" outlineLevel="0" collapsed="false">
      <c r="A15" s="14" t="s">
        <v>65</v>
      </c>
      <c r="B15" s="7" t="s">
        <v>164</v>
      </c>
      <c r="C15" s="15" t="n">
        <v>0.15</v>
      </c>
      <c r="D15" s="16"/>
      <c r="E15" s="17" t="str">
        <f aca="false">IF(D15="","",C15*D15)</f>
        <v/>
      </c>
    </row>
    <row r="16" customFormat="false" ht="30" hidden="false" customHeight="true" outlineLevel="0" collapsed="false">
      <c r="A16" s="14" t="s">
        <v>99</v>
      </c>
      <c r="B16" s="7" t="s">
        <v>165</v>
      </c>
      <c r="C16" s="15" t="n">
        <v>0.1</v>
      </c>
      <c r="D16" s="16"/>
      <c r="E16" s="17" t="str">
        <f aca="false">IF(D16="","",C16*D16)</f>
        <v/>
      </c>
    </row>
    <row r="17" customFormat="false" ht="30" hidden="false" customHeight="true" outlineLevel="0" collapsed="false">
      <c r="A17" s="14" t="s">
        <v>49</v>
      </c>
      <c r="B17" s="7" t="s">
        <v>166</v>
      </c>
      <c r="C17" s="15" t="n">
        <v>0.1</v>
      </c>
      <c r="D17" s="16"/>
      <c r="E17" s="17" t="str">
        <f aca="false">IF(D17="","",C17*D17)</f>
        <v/>
      </c>
    </row>
    <row r="18" customFormat="false" ht="30" hidden="false" customHeight="true" outlineLevel="0" collapsed="false">
      <c r="A18" s="14" t="s">
        <v>120</v>
      </c>
      <c r="B18" s="7" t="s">
        <v>167</v>
      </c>
      <c r="C18" s="15" t="n">
        <v>0.1</v>
      </c>
      <c r="D18" s="16"/>
      <c r="E18" s="17" t="str">
        <f aca="false">IF(D18="","",C18*D18)</f>
        <v/>
      </c>
    </row>
    <row r="19" customFormat="false" ht="30" hidden="false" customHeight="true" outlineLevel="0" collapsed="false">
      <c r="A19" s="14" t="s">
        <v>53</v>
      </c>
      <c r="B19" s="7" t="s">
        <v>168</v>
      </c>
      <c r="C19" s="15" t="n">
        <v>0.1</v>
      </c>
      <c r="D19" s="16"/>
      <c r="E19" s="17" t="str">
        <f aca="false">IF(D19="","",C19*D19)</f>
        <v/>
      </c>
    </row>
    <row r="20" customFormat="false" ht="15" hidden="false" customHeight="false" outlineLevel="0" collapsed="false">
      <c r="A20" s="18" t="s">
        <v>169</v>
      </c>
      <c r="B20" s="18"/>
      <c r="C20" s="19" t="n">
        <f aca="false">SUM(C12:C19)</f>
        <v>1</v>
      </c>
      <c r="D20" s="20"/>
      <c r="E20" s="21" t="str">
        <f aca="false">IF(COUNT(D12:D19)=0,"",SUM(E12:E19)/SUM(C12:C19))</f>
        <v/>
      </c>
    </row>
    <row r="22" customFormat="false" ht="15" hidden="false" customHeight="false" outlineLevel="0" collapsed="false">
      <c r="A22" s="11" t="s">
        <v>170</v>
      </c>
      <c r="B22" s="22" t="str">
        <f aca="false">IF(E20="","Belum dinilai",IF(E20&gt;=4,"Sangat direkomendasikan",IF(E20&gt;=3.25,"Direkomendasikan",IF(E20&gt;=2.5,"Dipertimbangkan","Belum direkomendasikan"))))</f>
        <v>Belum dinilai</v>
      </c>
      <c r="C22" s="22"/>
      <c r="D22" s="22"/>
      <c r="E22" s="22"/>
    </row>
    <row r="24" customFormat="false" ht="45.75" hidden="false" customHeight="true" outlineLevel="0" collapsed="false">
      <c r="A24" s="23" t="s">
        <v>171</v>
      </c>
      <c r="B24" s="13"/>
      <c r="C24" s="13"/>
      <c r="D24" s="13"/>
      <c r="E24" s="13"/>
    </row>
    <row r="25" customFormat="false" ht="45.75" hidden="false" customHeight="true" outlineLevel="0" collapsed="false">
      <c r="A25" s="23" t="s">
        <v>172</v>
      </c>
      <c r="B25" s="13"/>
      <c r="C25" s="13"/>
      <c r="D25" s="13"/>
      <c r="E25" s="13"/>
    </row>
    <row r="26" customFormat="false" ht="45.75" hidden="false" customHeight="true" outlineLevel="0" collapsed="false">
      <c r="A26" s="23" t="s">
        <v>173</v>
      </c>
      <c r="B26" s="13"/>
      <c r="C26" s="13"/>
      <c r="D26" s="13"/>
      <c r="E26" s="13"/>
    </row>
    <row r="27" customFormat="false" ht="45.75" hidden="false" customHeight="true" outlineLevel="0" collapsed="false">
      <c r="A27" s="23" t="s">
        <v>174</v>
      </c>
      <c r="B27" s="13"/>
      <c r="C27" s="13"/>
      <c r="D27" s="13"/>
      <c r="E27" s="13"/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A20:B20"/>
    <mergeCell ref="B22:E22"/>
    <mergeCell ref="B24:E24"/>
    <mergeCell ref="B25:E25"/>
    <mergeCell ref="B26:E26"/>
    <mergeCell ref="B27:E27"/>
  </mergeCells>
  <dataValidations count="1">
    <dataValidation allowBlank="true" error="Isi angka 1 sampai 5." errorStyle="stop" errorTitle="Nilai tidak sah" operator="between" showDropDown="false" showErrorMessage="true" showInputMessage="false" sqref="D12:D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175</v>
      </c>
      <c r="B1" s="1"/>
      <c r="C1" s="1"/>
      <c r="D1" s="1"/>
      <c r="E1" s="1"/>
    </row>
    <row r="2" customFormat="false" ht="18" hidden="false" customHeight="true" outlineLevel="0" collapsed="false">
      <c r="A2" s="2" t="s">
        <v>146</v>
      </c>
      <c r="B2" s="2"/>
      <c r="C2" s="2"/>
      <c r="D2" s="2"/>
      <c r="E2" s="2"/>
    </row>
    <row r="4" customFormat="false" ht="15" hidden="false" customHeight="true" outlineLevel="0" collapsed="false">
      <c r="A4" s="11" t="s">
        <v>147</v>
      </c>
      <c r="B4" s="12" t="s">
        <v>176</v>
      </c>
      <c r="C4" s="12"/>
      <c r="D4" s="12"/>
      <c r="E4" s="12"/>
    </row>
    <row r="5" customFormat="false" ht="15" hidden="false" customHeight="true" outlineLevel="0" collapsed="false">
      <c r="A5" s="11" t="s">
        <v>149</v>
      </c>
      <c r="B5" s="12" t="s">
        <v>150</v>
      </c>
      <c r="C5" s="12"/>
      <c r="D5" s="12"/>
      <c r="E5" s="12"/>
    </row>
    <row r="6" customFormat="false" ht="15" hidden="false" customHeight="true" outlineLevel="0" collapsed="false">
      <c r="A6" s="11" t="s">
        <v>151</v>
      </c>
      <c r="B6" s="12" t="s">
        <v>177</v>
      </c>
      <c r="C6" s="12"/>
      <c r="D6" s="12"/>
      <c r="E6" s="12"/>
    </row>
    <row r="7" customFormat="false" ht="15" hidden="false" customHeight="false" outlineLevel="0" collapsed="false">
      <c r="A7" s="11" t="s">
        <v>153</v>
      </c>
      <c r="B7" s="13"/>
      <c r="C7" s="13"/>
      <c r="D7" s="13"/>
      <c r="E7" s="13"/>
    </row>
    <row r="8" customFormat="false" ht="15" hidden="false" customHeight="false" outlineLevel="0" collapsed="false">
      <c r="A8" s="11" t="s">
        <v>154</v>
      </c>
      <c r="B8" s="13"/>
      <c r="C8" s="13"/>
      <c r="D8" s="13"/>
      <c r="E8" s="13"/>
    </row>
    <row r="9" customFormat="false" ht="15" hidden="false" customHeight="false" outlineLevel="0" collapsed="false">
      <c r="A9" s="11" t="s">
        <v>155</v>
      </c>
      <c r="B9" s="13"/>
      <c r="C9" s="13"/>
      <c r="D9" s="13"/>
      <c r="E9" s="13"/>
    </row>
    <row r="11" customFormat="false" ht="27.75" hidden="false" customHeight="true" outlineLevel="0" collapsed="false">
      <c r="A11" s="6" t="s">
        <v>156</v>
      </c>
      <c r="B11" s="6" t="s">
        <v>157</v>
      </c>
      <c r="C11" s="6" t="s">
        <v>158</v>
      </c>
      <c r="D11" s="6" t="s">
        <v>159</v>
      </c>
      <c r="E11" s="6" t="s">
        <v>160</v>
      </c>
    </row>
    <row r="12" customFormat="false" ht="30" hidden="false" customHeight="true" outlineLevel="0" collapsed="false">
      <c r="A12" s="14" t="s">
        <v>58</v>
      </c>
      <c r="B12" s="7" t="s">
        <v>161</v>
      </c>
      <c r="C12" s="15" t="n">
        <v>0.1</v>
      </c>
      <c r="D12" s="16"/>
      <c r="E12" s="17" t="str">
        <f aca="false">IF(D12="","",C12*D12)</f>
        <v/>
      </c>
    </row>
    <row r="13" customFormat="false" ht="30" hidden="false" customHeight="true" outlineLevel="0" collapsed="false">
      <c r="A13" s="14" t="s">
        <v>70</v>
      </c>
      <c r="B13" s="7" t="s">
        <v>162</v>
      </c>
      <c r="C13" s="15" t="n">
        <v>0.15</v>
      </c>
      <c r="D13" s="16"/>
      <c r="E13" s="17" t="str">
        <f aca="false">IF(D13="","",C13*D13)</f>
        <v/>
      </c>
    </row>
    <row r="14" customFormat="false" ht="30" hidden="false" customHeight="true" outlineLevel="0" collapsed="false">
      <c r="A14" s="14" t="s">
        <v>84</v>
      </c>
      <c r="B14" s="7" t="s">
        <v>163</v>
      </c>
      <c r="C14" s="15" t="n">
        <v>0.2</v>
      </c>
      <c r="D14" s="16"/>
      <c r="E14" s="17" t="str">
        <f aca="false">IF(D14="","",C14*D14)</f>
        <v/>
      </c>
    </row>
    <row r="15" customFormat="false" ht="30" hidden="false" customHeight="true" outlineLevel="0" collapsed="false">
      <c r="A15" s="14" t="s">
        <v>65</v>
      </c>
      <c r="B15" s="7" t="s">
        <v>164</v>
      </c>
      <c r="C15" s="15" t="n">
        <v>0.15</v>
      </c>
      <c r="D15" s="16"/>
      <c r="E15" s="17" t="str">
        <f aca="false">IF(D15="","",C15*D15)</f>
        <v/>
      </c>
    </row>
    <row r="16" customFormat="false" ht="30" hidden="false" customHeight="true" outlineLevel="0" collapsed="false">
      <c r="A16" s="14" t="s">
        <v>99</v>
      </c>
      <c r="B16" s="7" t="s">
        <v>165</v>
      </c>
      <c r="C16" s="15" t="n">
        <v>0.1</v>
      </c>
      <c r="D16" s="16"/>
      <c r="E16" s="17" t="str">
        <f aca="false">IF(D16="","",C16*D16)</f>
        <v/>
      </c>
    </row>
    <row r="17" customFormat="false" ht="30" hidden="false" customHeight="true" outlineLevel="0" collapsed="false">
      <c r="A17" s="14" t="s">
        <v>49</v>
      </c>
      <c r="B17" s="7" t="s">
        <v>166</v>
      </c>
      <c r="C17" s="15" t="n">
        <v>0.1</v>
      </c>
      <c r="D17" s="16"/>
      <c r="E17" s="17" t="str">
        <f aca="false">IF(D17="","",C17*D17)</f>
        <v/>
      </c>
    </row>
    <row r="18" customFormat="false" ht="30" hidden="false" customHeight="true" outlineLevel="0" collapsed="false">
      <c r="A18" s="14" t="s">
        <v>120</v>
      </c>
      <c r="B18" s="7" t="s">
        <v>167</v>
      </c>
      <c r="C18" s="15" t="n">
        <v>0.1</v>
      </c>
      <c r="D18" s="16"/>
      <c r="E18" s="17" t="str">
        <f aca="false">IF(D18="","",C18*D18)</f>
        <v/>
      </c>
    </row>
    <row r="19" customFormat="false" ht="30" hidden="false" customHeight="true" outlineLevel="0" collapsed="false">
      <c r="A19" s="14" t="s">
        <v>53</v>
      </c>
      <c r="B19" s="7" t="s">
        <v>168</v>
      </c>
      <c r="C19" s="15" t="n">
        <v>0.1</v>
      </c>
      <c r="D19" s="16"/>
      <c r="E19" s="17" t="str">
        <f aca="false">IF(D19="","",C19*D19)</f>
        <v/>
      </c>
    </row>
    <row r="20" customFormat="false" ht="15" hidden="false" customHeight="false" outlineLevel="0" collapsed="false">
      <c r="A20" s="18" t="s">
        <v>169</v>
      </c>
      <c r="B20" s="18"/>
      <c r="C20" s="19" t="n">
        <f aca="false">SUM(C12:C19)</f>
        <v>1</v>
      </c>
      <c r="D20" s="20"/>
      <c r="E20" s="21" t="str">
        <f aca="false">IF(COUNT(D12:D19)=0,"",SUM(E12:E19)/SUM(C12:C19))</f>
        <v/>
      </c>
    </row>
    <row r="22" customFormat="false" ht="15" hidden="false" customHeight="false" outlineLevel="0" collapsed="false">
      <c r="A22" s="11" t="s">
        <v>170</v>
      </c>
      <c r="B22" s="22" t="str">
        <f aca="false">IF(E20="","Belum dinilai",IF(E20&gt;=4,"Sangat direkomendasikan",IF(E20&gt;=3.25,"Direkomendasikan",IF(E20&gt;=2.5,"Dipertimbangkan","Belum direkomendasikan"))))</f>
        <v>Belum dinilai</v>
      </c>
      <c r="C22" s="22"/>
      <c r="D22" s="22"/>
      <c r="E22" s="22"/>
    </row>
    <row r="24" customFormat="false" ht="45.75" hidden="false" customHeight="true" outlineLevel="0" collapsed="false">
      <c r="A24" s="23" t="s">
        <v>171</v>
      </c>
      <c r="B24" s="13"/>
      <c r="C24" s="13"/>
      <c r="D24" s="13"/>
      <c r="E24" s="13"/>
    </row>
    <row r="25" customFormat="false" ht="45.75" hidden="false" customHeight="true" outlineLevel="0" collapsed="false">
      <c r="A25" s="23" t="s">
        <v>172</v>
      </c>
      <c r="B25" s="13"/>
      <c r="C25" s="13"/>
      <c r="D25" s="13"/>
      <c r="E25" s="13"/>
    </row>
    <row r="26" customFormat="false" ht="45.75" hidden="false" customHeight="true" outlineLevel="0" collapsed="false">
      <c r="A26" s="23" t="s">
        <v>173</v>
      </c>
      <c r="B26" s="13"/>
      <c r="C26" s="13"/>
      <c r="D26" s="13"/>
      <c r="E26" s="13"/>
    </row>
    <row r="27" customFormat="false" ht="45.75" hidden="false" customHeight="true" outlineLevel="0" collapsed="false">
      <c r="A27" s="23" t="s">
        <v>174</v>
      </c>
      <c r="B27" s="13"/>
      <c r="C27" s="13"/>
      <c r="D27" s="13"/>
      <c r="E27" s="13"/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A20:B20"/>
    <mergeCell ref="B22:E22"/>
    <mergeCell ref="B24:E24"/>
    <mergeCell ref="B25:E25"/>
    <mergeCell ref="B26:E26"/>
    <mergeCell ref="B27:E27"/>
  </mergeCells>
  <dataValidations count="1">
    <dataValidation allowBlank="true" error="Isi angka 1 sampai 5." errorStyle="stop" errorTitle="Nilai tidak sah" operator="between" showDropDown="false" showErrorMessage="true" showInputMessage="false" sqref="D12:D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178</v>
      </c>
      <c r="B1" s="1"/>
      <c r="C1" s="1"/>
      <c r="D1" s="1"/>
      <c r="E1" s="1"/>
    </row>
    <row r="2" customFormat="false" ht="18" hidden="false" customHeight="true" outlineLevel="0" collapsed="false">
      <c r="A2" s="2" t="s">
        <v>146</v>
      </c>
      <c r="B2" s="2"/>
      <c r="C2" s="2"/>
      <c r="D2" s="2"/>
      <c r="E2" s="2"/>
    </row>
    <row r="4" customFormat="false" ht="15" hidden="false" customHeight="true" outlineLevel="0" collapsed="false">
      <c r="A4" s="11" t="s">
        <v>147</v>
      </c>
      <c r="B4" s="12" t="s">
        <v>179</v>
      </c>
      <c r="C4" s="12"/>
      <c r="D4" s="12"/>
      <c r="E4" s="12"/>
    </row>
    <row r="5" customFormat="false" ht="15" hidden="false" customHeight="true" outlineLevel="0" collapsed="false">
      <c r="A5" s="11" t="s">
        <v>149</v>
      </c>
      <c r="B5" s="12" t="s">
        <v>180</v>
      </c>
      <c r="C5" s="12"/>
      <c r="D5" s="12"/>
      <c r="E5" s="12"/>
    </row>
    <row r="6" customFormat="false" ht="15" hidden="false" customHeight="true" outlineLevel="0" collapsed="false">
      <c r="A6" s="11" t="s">
        <v>151</v>
      </c>
      <c r="B6" s="12" t="s">
        <v>181</v>
      </c>
      <c r="C6" s="12"/>
      <c r="D6" s="12"/>
      <c r="E6" s="12"/>
    </row>
    <row r="7" customFormat="false" ht="15" hidden="false" customHeight="false" outlineLevel="0" collapsed="false">
      <c r="A7" s="11" t="s">
        <v>153</v>
      </c>
      <c r="B7" s="13"/>
      <c r="C7" s="13"/>
      <c r="D7" s="13"/>
      <c r="E7" s="13"/>
    </row>
    <row r="8" customFormat="false" ht="15" hidden="false" customHeight="false" outlineLevel="0" collapsed="false">
      <c r="A8" s="11" t="s">
        <v>154</v>
      </c>
      <c r="B8" s="13"/>
      <c r="C8" s="13"/>
      <c r="D8" s="13"/>
      <c r="E8" s="13"/>
    </row>
    <row r="9" customFormat="false" ht="15" hidden="false" customHeight="false" outlineLevel="0" collapsed="false">
      <c r="A9" s="11" t="s">
        <v>155</v>
      </c>
      <c r="B9" s="13"/>
      <c r="C9" s="13"/>
      <c r="D9" s="13"/>
      <c r="E9" s="13"/>
    </row>
    <row r="11" customFormat="false" ht="27.75" hidden="false" customHeight="true" outlineLevel="0" collapsed="false">
      <c r="A11" s="6" t="s">
        <v>156</v>
      </c>
      <c r="B11" s="6" t="s">
        <v>157</v>
      </c>
      <c r="C11" s="6" t="s">
        <v>158</v>
      </c>
      <c r="D11" s="6" t="s">
        <v>159</v>
      </c>
      <c r="E11" s="6" t="s">
        <v>160</v>
      </c>
    </row>
    <row r="12" customFormat="false" ht="30" hidden="false" customHeight="true" outlineLevel="0" collapsed="false">
      <c r="A12" s="14" t="s">
        <v>58</v>
      </c>
      <c r="B12" s="7" t="s">
        <v>161</v>
      </c>
      <c r="C12" s="15" t="n">
        <v>0.1</v>
      </c>
      <c r="D12" s="16"/>
      <c r="E12" s="17" t="str">
        <f aca="false">IF(D12="","",C12*D12)</f>
        <v/>
      </c>
    </row>
    <row r="13" customFormat="false" ht="30" hidden="false" customHeight="true" outlineLevel="0" collapsed="false">
      <c r="A13" s="14" t="s">
        <v>70</v>
      </c>
      <c r="B13" s="7" t="s">
        <v>162</v>
      </c>
      <c r="C13" s="15" t="n">
        <v>0.15</v>
      </c>
      <c r="D13" s="16"/>
      <c r="E13" s="17" t="str">
        <f aca="false">IF(D13="","",C13*D13)</f>
        <v/>
      </c>
    </row>
    <row r="14" customFormat="false" ht="30" hidden="false" customHeight="true" outlineLevel="0" collapsed="false">
      <c r="A14" s="14" t="s">
        <v>84</v>
      </c>
      <c r="B14" s="7" t="s">
        <v>163</v>
      </c>
      <c r="C14" s="15" t="n">
        <v>0.2</v>
      </c>
      <c r="D14" s="16"/>
      <c r="E14" s="17" t="str">
        <f aca="false">IF(D14="","",C14*D14)</f>
        <v/>
      </c>
    </row>
    <row r="15" customFormat="false" ht="30" hidden="false" customHeight="true" outlineLevel="0" collapsed="false">
      <c r="A15" s="14" t="s">
        <v>65</v>
      </c>
      <c r="B15" s="7" t="s">
        <v>164</v>
      </c>
      <c r="C15" s="15" t="n">
        <v>0.15</v>
      </c>
      <c r="D15" s="16"/>
      <c r="E15" s="17" t="str">
        <f aca="false">IF(D15="","",C15*D15)</f>
        <v/>
      </c>
    </row>
    <row r="16" customFormat="false" ht="30" hidden="false" customHeight="true" outlineLevel="0" collapsed="false">
      <c r="A16" s="14" t="s">
        <v>99</v>
      </c>
      <c r="B16" s="7" t="s">
        <v>165</v>
      </c>
      <c r="C16" s="15" t="n">
        <v>0.1</v>
      </c>
      <c r="D16" s="16"/>
      <c r="E16" s="17" t="str">
        <f aca="false">IF(D16="","",C16*D16)</f>
        <v/>
      </c>
    </row>
    <row r="17" customFormat="false" ht="30" hidden="false" customHeight="true" outlineLevel="0" collapsed="false">
      <c r="A17" s="14" t="s">
        <v>49</v>
      </c>
      <c r="B17" s="7" t="s">
        <v>166</v>
      </c>
      <c r="C17" s="15" t="n">
        <v>0.1</v>
      </c>
      <c r="D17" s="16"/>
      <c r="E17" s="17" t="str">
        <f aca="false">IF(D17="","",C17*D17)</f>
        <v/>
      </c>
    </row>
    <row r="18" customFormat="false" ht="30" hidden="false" customHeight="true" outlineLevel="0" collapsed="false">
      <c r="A18" s="14" t="s">
        <v>120</v>
      </c>
      <c r="B18" s="7" t="s">
        <v>167</v>
      </c>
      <c r="C18" s="15" t="n">
        <v>0.1</v>
      </c>
      <c r="D18" s="16"/>
      <c r="E18" s="17" t="str">
        <f aca="false">IF(D18="","",C18*D18)</f>
        <v/>
      </c>
    </row>
    <row r="19" customFormat="false" ht="30" hidden="false" customHeight="true" outlineLevel="0" collapsed="false">
      <c r="A19" s="14" t="s">
        <v>53</v>
      </c>
      <c r="B19" s="7" t="s">
        <v>168</v>
      </c>
      <c r="C19" s="15" t="n">
        <v>0.1</v>
      </c>
      <c r="D19" s="16"/>
      <c r="E19" s="17" t="str">
        <f aca="false">IF(D19="","",C19*D19)</f>
        <v/>
      </c>
    </row>
    <row r="20" customFormat="false" ht="15" hidden="false" customHeight="false" outlineLevel="0" collapsed="false">
      <c r="A20" s="18" t="s">
        <v>169</v>
      </c>
      <c r="B20" s="18"/>
      <c r="C20" s="19" t="n">
        <f aca="false">SUM(C12:C19)</f>
        <v>1</v>
      </c>
      <c r="D20" s="20"/>
      <c r="E20" s="21" t="str">
        <f aca="false">IF(COUNT(D12:D19)=0,"",SUM(E12:E19)/SUM(C12:C19))</f>
        <v/>
      </c>
    </row>
    <row r="22" customFormat="false" ht="15" hidden="false" customHeight="false" outlineLevel="0" collapsed="false">
      <c r="A22" s="11" t="s">
        <v>170</v>
      </c>
      <c r="B22" s="22" t="str">
        <f aca="false">IF(E20="","Belum dinilai",IF(E20&gt;=4,"Sangat direkomendasikan",IF(E20&gt;=3.25,"Direkomendasikan",IF(E20&gt;=2.5,"Dipertimbangkan","Belum direkomendasikan"))))</f>
        <v>Belum dinilai</v>
      </c>
      <c r="C22" s="22"/>
      <c r="D22" s="22"/>
      <c r="E22" s="22"/>
    </row>
    <row r="24" customFormat="false" ht="45.75" hidden="false" customHeight="true" outlineLevel="0" collapsed="false">
      <c r="A24" s="23" t="s">
        <v>171</v>
      </c>
      <c r="B24" s="13"/>
      <c r="C24" s="13"/>
      <c r="D24" s="13"/>
      <c r="E24" s="13"/>
    </row>
    <row r="25" customFormat="false" ht="45.75" hidden="false" customHeight="true" outlineLevel="0" collapsed="false">
      <c r="A25" s="23" t="s">
        <v>172</v>
      </c>
      <c r="B25" s="13"/>
      <c r="C25" s="13"/>
      <c r="D25" s="13"/>
      <c r="E25" s="13"/>
    </row>
    <row r="26" customFormat="false" ht="45.75" hidden="false" customHeight="true" outlineLevel="0" collapsed="false">
      <c r="A26" s="23" t="s">
        <v>173</v>
      </c>
      <c r="B26" s="13"/>
      <c r="C26" s="13"/>
      <c r="D26" s="13"/>
      <c r="E26" s="13"/>
    </row>
    <row r="27" customFormat="false" ht="45.75" hidden="false" customHeight="true" outlineLevel="0" collapsed="false">
      <c r="A27" s="23" t="s">
        <v>174</v>
      </c>
      <c r="B27" s="13"/>
      <c r="C27" s="13"/>
      <c r="D27" s="13"/>
      <c r="E27" s="13"/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A20:B20"/>
    <mergeCell ref="B22:E22"/>
    <mergeCell ref="B24:E24"/>
    <mergeCell ref="B25:E25"/>
    <mergeCell ref="B26:E26"/>
    <mergeCell ref="B27:E27"/>
  </mergeCells>
  <dataValidations count="1">
    <dataValidation allowBlank="true" error="Isi angka 1 sampai 5." errorStyle="stop" errorTitle="Nilai tidak sah" operator="between" showDropDown="false" showErrorMessage="true" showInputMessage="false" sqref="D12:D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182</v>
      </c>
      <c r="B1" s="1"/>
      <c r="C1" s="1"/>
      <c r="D1" s="1"/>
      <c r="E1" s="1"/>
    </row>
    <row r="2" customFormat="false" ht="18" hidden="false" customHeight="true" outlineLevel="0" collapsed="false">
      <c r="A2" s="2" t="s">
        <v>146</v>
      </c>
      <c r="B2" s="2"/>
      <c r="C2" s="2"/>
      <c r="D2" s="2"/>
      <c r="E2" s="2"/>
    </row>
    <row r="4" customFormat="false" ht="15" hidden="false" customHeight="true" outlineLevel="0" collapsed="false">
      <c r="A4" s="11" t="s">
        <v>147</v>
      </c>
      <c r="B4" s="12" t="s">
        <v>183</v>
      </c>
      <c r="C4" s="12"/>
      <c r="D4" s="12"/>
      <c r="E4" s="12"/>
    </row>
    <row r="5" customFormat="false" ht="15" hidden="false" customHeight="true" outlineLevel="0" collapsed="false">
      <c r="A5" s="11" t="s">
        <v>149</v>
      </c>
      <c r="B5" s="12" t="s">
        <v>180</v>
      </c>
      <c r="C5" s="12"/>
      <c r="D5" s="12"/>
      <c r="E5" s="12"/>
    </row>
    <row r="6" customFormat="false" ht="15" hidden="false" customHeight="true" outlineLevel="0" collapsed="false">
      <c r="A6" s="11" t="s">
        <v>151</v>
      </c>
      <c r="B6" s="12" t="s">
        <v>184</v>
      </c>
      <c r="C6" s="12"/>
      <c r="D6" s="12"/>
      <c r="E6" s="12"/>
    </row>
    <row r="7" customFormat="false" ht="15" hidden="false" customHeight="false" outlineLevel="0" collapsed="false">
      <c r="A7" s="11" t="s">
        <v>153</v>
      </c>
      <c r="B7" s="13"/>
      <c r="C7" s="13"/>
      <c r="D7" s="13"/>
      <c r="E7" s="13"/>
    </row>
    <row r="8" customFormat="false" ht="15" hidden="false" customHeight="false" outlineLevel="0" collapsed="false">
      <c r="A8" s="11" t="s">
        <v>154</v>
      </c>
      <c r="B8" s="13"/>
      <c r="C8" s="13"/>
      <c r="D8" s="13"/>
      <c r="E8" s="13"/>
    </row>
    <row r="9" customFormat="false" ht="15" hidden="false" customHeight="false" outlineLevel="0" collapsed="false">
      <c r="A9" s="11" t="s">
        <v>155</v>
      </c>
      <c r="B9" s="13"/>
      <c r="C9" s="13"/>
      <c r="D9" s="13"/>
      <c r="E9" s="13"/>
    </row>
    <row r="11" customFormat="false" ht="27.75" hidden="false" customHeight="true" outlineLevel="0" collapsed="false">
      <c r="A11" s="6" t="s">
        <v>156</v>
      </c>
      <c r="B11" s="6" t="s">
        <v>157</v>
      </c>
      <c r="C11" s="6" t="s">
        <v>158</v>
      </c>
      <c r="D11" s="6" t="s">
        <v>159</v>
      </c>
      <c r="E11" s="6" t="s">
        <v>160</v>
      </c>
    </row>
    <row r="12" customFormat="false" ht="30" hidden="false" customHeight="true" outlineLevel="0" collapsed="false">
      <c r="A12" s="14" t="s">
        <v>58</v>
      </c>
      <c r="B12" s="7" t="s">
        <v>161</v>
      </c>
      <c r="C12" s="15" t="n">
        <v>0.1</v>
      </c>
      <c r="D12" s="16"/>
      <c r="E12" s="17" t="str">
        <f aca="false">IF(D12="","",C12*D12)</f>
        <v/>
      </c>
    </row>
    <row r="13" customFormat="false" ht="30" hidden="false" customHeight="true" outlineLevel="0" collapsed="false">
      <c r="A13" s="14" t="s">
        <v>70</v>
      </c>
      <c r="B13" s="7" t="s">
        <v>162</v>
      </c>
      <c r="C13" s="15" t="n">
        <v>0.15</v>
      </c>
      <c r="D13" s="16"/>
      <c r="E13" s="17" t="str">
        <f aca="false">IF(D13="","",C13*D13)</f>
        <v/>
      </c>
    </row>
    <row r="14" customFormat="false" ht="30" hidden="false" customHeight="true" outlineLevel="0" collapsed="false">
      <c r="A14" s="14" t="s">
        <v>84</v>
      </c>
      <c r="B14" s="7" t="s">
        <v>163</v>
      </c>
      <c r="C14" s="15" t="n">
        <v>0.2</v>
      </c>
      <c r="D14" s="16"/>
      <c r="E14" s="17" t="str">
        <f aca="false">IF(D14="","",C14*D14)</f>
        <v/>
      </c>
    </row>
    <row r="15" customFormat="false" ht="30" hidden="false" customHeight="true" outlineLevel="0" collapsed="false">
      <c r="A15" s="14" t="s">
        <v>65</v>
      </c>
      <c r="B15" s="7" t="s">
        <v>164</v>
      </c>
      <c r="C15" s="15" t="n">
        <v>0.15</v>
      </c>
      <c r="D15" s="16"/>
      <c r="E15" s="17" t="str">
        <f aca="false">IF(D15="","",C15*D15)</f>
        <v/>
      </c>
    </row>
    <row r="16" customFormat="false" ht="30" hidden="false" customHeight="true" outlineLevel="0" collapsed="false">
      <c r="A16" s="14" t="s">
        <v>99</v>
      </c>
      <c r="B16" s="7" t="s">
        <v>165</v>
      </c>
      <c r="C16" s="15" t="n">
        <v>0.1</v>
      </c>
      <c r="D16" s="16"/>
      <c r="E16" s="17" t="str">
        <f aca="false">IF(D16="","",C16*D16)</f>
        <v/>
      </c>
    </row>
    <row r="17" customFormat="false" ht="30" hidden="false" customHeight="true" outlineLevel="0" collapsed="false">
      <c r="A17" s="14" t="s">
        <v>49</v>
      </c>
      <c r="B17" s="7" t="s">
        <v>166</v>
      </c>
      <c r="C17" s="15" t="n">
        <v>0.1</v>
      </c>
      <c r="D17" s="16"/>
      <c r="E17" s="17" t="str">
        <f aca="false">IF(D17="","",C17*D17)</f>
        <v/>
      </c>
    </row>
    <row r="18" customFormat="false" ht="30" hidden="false" customHeight="true" outlineLevel="0" collapsed="false">
      <c r="A18" s="14" t="s">
        <v>120</v>
      </c>
      <c r="B18" s="7" t="s">
        <v>167</v>
      </c>
      <c r="C18" s="15" t="n">
        <v>0.1</v>
      </c>
      <c r="D18" s="16"/>
      <c r="E18" s="17" t="str">
        <f aca="false">IF(D18="","",C18*D18)</f>
        <v/>
      </c>
    </row>
    <row r="19" customFormat="false" ht="30" hidden="false" customHeight="true" outlineLevel="0" collapsed="false">
      <c r="A19" s="14" t="s">
        <v>53</v>
      </c>
      <c r="B19" s="7" t="s">
        <v>168</v>
      </c>
      <c r="C19" s="15" t="n">
        <v>0.1</v>
      </c>
      <c r="D19" s="16"/>
      <c r="E19" s="17" t="str">
        <f aca="false">IF(D19="","",C19*D19)</f>
        <v/>
      </c>
    </row>
    <row r="20" customFormat="false" ht="15" hidden="false" customHeight="false" outlineLevel="0" collapsed="false">
      <c r="A20" s="18" t="s">
        <v>169</v>
      </c>
      <c r="B20" s="18"/>
      <c r="C20" s="19" t="n">
        <f aca="false">SUM(C12:C19)</f>
        <v>1</v>
      </c>
      <c r="D20" s="20"/>
      <c r="E20" s="21" t="str">
        <f aca="false">IF(COUNT(D12:D19)=0,"",SUM(E12:E19)/SUM(C12:C19))</f>
        <v/>
      </c>
    </row>
    <row r="22" customFormat="false" ht="15" hidden="false" customHeight="false" outlineLevel="0" collapsed="false">
      <c r="A22" s="11" t="s">
        <v>170</v>
      </c>
      <c r="B22" s="22" t="str">
        <f aca="false">IF(E20="","Belum dinilai",IF(E20&gt;=4,"Sangat direkomendasikan",IF(E20&gt;=3.25,"Direkomendasikan",IF(E20&gt;=2.5,"Dipertimbangkan","Belum direkomendasikan"))))</f>
        <v>Belum dinilai</v>
      </c>
      <c r="C22" s="22"/>
      <c r="D22" s="22"/>
      <c r="E22" s="22"/>
    </row>
    <row r="24" customFormat="false" ht="45.75" hidden="false" customHeight="true" outlineLevel="0" collapsed="false">
      <c r="A24" s="23" t="s">
        <v>171</v>
      </c>
      <c r="B24" s="13"/>
      <c r="C24" s="13"/>
      <c r="D24" s="13"/>
      <c r="E24" s="13"/>
    </row>
    <row r="25" customFormat="false" ht="45.75" hidden="false" customHeight="true" outlineLevel="0" collapsed="false">
      <c r="A25" s="23" t="s">
        <v>172</v>
      </c>
      <c r="B25" s="13"/>
      <c r="C25" s="13"/>
      <c r="D25" s="13"/>
      <c r="E25" s="13"/>
    </row>
    <row r="26" customFormat="false" ht="45.75" hidden="false" customHeight="true" outlineLevel="0" collapsed="false">
      <c r="A26" s="23" t="s">
        <v>173</v>
      </c>
      <c r="B26" s="13"/>
      <c r="C26" s="13"/>
      <c r="D26" s="13"/>
      <c r="E26" s="13"/>
    </row>
    <row r="27" customFormat="false" ht="45.75" hidden="false" customHeight="true" outlineLevel="0" collapsed="false">
      <c r="A27" s="23" t="s">
        <v>174</v>
      </c>
      <c r="B27" s="13"/>
      <c r="C27" s="13"/>
      <c r="D27" s="13"/>
      <c r="E27" s="13"/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A20:B20"/>
    <mergeCell ref="B22:E22"/>
    <mergeCell ref="B24:E24"/>
    <mergeCell ref="B25:E25"/>
    <mergeCell ref="B26:E26"/>
    <mergeCell ref="B27:E27"/>
  </mergeCells>
  <dataValidations count="1">
    <dataValidation allowBlank="true" error="Isi angka 1 sampai 5." errorStyle="stop" errorTitle="Nilai tidak sah" operator="between" showDropDown="false" showErrorMessage="true" showInputMessage="false" sqref="D12:D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185</v>
      </c>
      <c r="B1" s="1"/>
      <c r="C1" s="1"/>
      <c r="D1" s="1"/>
      <c r="E1" s="1"/>
    </row>
    <row r="2" customFormat="false" ht="18" hidden="false" customHeight="true" outlineLevel="0" collapsed="false">
      <c r="A2" s="2" t="s">
        <v>146</v>
      </c>
      <c r="B2" s="2"/>
      <c r="C2" s="2"/>
      <c r="D2" s="2"/>
      <c r="E2" s="2"/>
    </row>
    <row r="4" customFormat="false" ht="15" hidden="false" customHeight="true" outlineLevel="0" collapsed="false">
      <c r="A4" s="11" t="s">
        <v>147</v>
      </c>
      <c r="B4" s="12" t="s">
        <v>186</v>
      </c>
      <c r="C4" s="12"/>
      <c r="D4" s="12"/>
      <c r="E4" s="12"/>
    </row>
    <row r="5" customFormat="false" ht="15" hidden="false" customHeight="true" outlineLevel="0" collapsed="false">
      <c r="A5" s="11" t="s">
        <v>149</v>
      </c>
      <c r="B5" s="12" t="s">
        <v>187</v>
      </c>
      <c r="C5" s="12"/>
      <c r="D5" s="12"/>
      <c r="E5" s="12"/>
    </row>
    <row r="6" customFormat="false" ht="15" hidden="false" customHeight="true" outlineLevel="0" collapsed="false">
      <c r="A6" s="11" t="s">
        <v>151</v>
      </c>
      <c r="B6" s="12" t="s">
        <v>188</v>
      </c>
      <c r="C6" s="12"/>
      <c r="D6" s="12"/>
      <c r="E6" s="12"/>
    </row>
    <row r="7" customFormat="false" ht="15" hidden="false" customHeight="false" outlineLevel="0" collapsed="false">
      <c r="A7" s="11" t="s">
        <v>153</v>
      </c>
      <c r="B7" s="13"/>
      <c r="C7" s="13"/>
      <c r="D7" s="13"/>
      <c r="E7" s="13"/>
    </row>
    <row r="8" customFormat="false" ht="15" hidden="false" customHeight="false" outlineLevel="0" collapsed="false">
      <c r="A8" s="11" t="s">
        <v>154</v>
      </c>
      <c r="B8" s="13"/>
      <c r="C8" s="13"/>
      <c r="D8" s="13"/>
      <c r="E8" s="13"/>
    </row>
    <row r="9" customFormat="false" ht="15" hidden="false" customHeight="false" outlineLevel="0" collapsed="false">
      <c r="A9" s="11" t="s">
        <v>155</v>
      </c>
      <c r="B9" s="13"/>
      <c r="C9" s="13"/>
      <c r="D9" s="13"/>
      <c r="E9" s="13"/>
    </row>
    <row r="11" customFormat="false" ht="27.75" hidden="false" customHeight="true" outlineLevel="0" collapsed="false">
      <c r="A11" s="6" t="s">
        <v>156</v>
      </c>
      <c r="B11" s="6" t="s">
        <v>157</v>
      </c>
      <c r="C11" s="6" t="s">
        <v>158</v>
      </c>
      <c r="D11" s="6" t="s">
        <v>159</v>
      </c>
      <c r="E11" s="6" t="s">
        <v>160</v>
      </c>
    </row>
    <row r="12" customFormat="false" ht="30" hidden="false" customHeight="true" outlineLevel="0" collapsed="false">
      <c r="A12" s="14" t="s">
        <v>58</v>
      </c>
      <c r="B12" s="7" t="s">
        <v>161</v>
      </c>
      <c r="C12" s="15" t="n">
        <v>0.1</v>
      </c>
      <c r="D12" s="16"/>
      <c r="E12" s="17" t="str">
        <f aca="false">IF(D12="","",C12*D12)</f>
        <v/>
      </c>
    </row>
    <row r="13" customFormat="false" ht="30" hidden="false" customHeight="true" outlineLevel="0" collapsed="false">
      <c r="A13" s="14" t="s">
        <v>70</v>
      </c>
      <c r="B13" s="7" t="s">
        <v>162</v>
      </c>
      <c r="C13" s="15" t="n">
        <v>0.15</v>
      </c>
      <c r="D13" s="16"/>
      <c r="E13" s="17" t="str">
        <f aca="false">IF(D13="","",C13*D13)</f>
        <v/>
      </c>
    </row>
    <row r="14" customFormat="false" ht="30" hidden="false" customHeight="true" outlineLevel="0" collapsed="false">
      <c r="A14" s="14" t="s">
        <v>84</v>
      </c>
      <c r="B14" s="7" t="s">
        <v>163</v>
      </c>
      <c r="C14" s="15" t="n">
        <v>0.2</v>
      </c>
      <c r="D14" s="16"/>
      <c r="E14" s="17" t="str">
        <f aca="false">IF(D14="","",C14*D14)</f>
        <v/>
      </c>
    </row>
    <row r="15" customFormat="false" ht="30" hidden="false" customHeight="true" outlineLevel="0" collapsed="false">
      <c r="A15" s="14" t="s">
        <v>65</v>
      </c>
      <c r="B15" s="7" t="s">
        <v>164</v>
      </c>
      <c r="C15" s="15" t="n">
        <v>0.15</v>
      </c>
      <c r="D15" s="16"/>
      <c r="E15" s="17" t="str">
        <f aca="false">IF(D15="","",C15*D15)</f>
        <v/>
      </c>
    </row>
    <row r="16" customFormat="false" ht="30" hidden="false" customHeight="true" outlineLevel="0" collapsed="false">
      <c r="A16" s="14" t="s">
        <v>99</v>
      </c>
      <c r="B16" s="7" t="s">
        <v>165</v>
      </c>
      <c r="C16" s="15" t="n">
        <v>0.1</v>
      </c>
      <c r="D16" s="16"/>
      <c r="E16" s="17" t="str">
        <f aca="false">IF(D16="","",C16*D16)</f>
        <v/>
      </c>
    </row>
    <row r="17" customFormat="false" ht="30" hidden="false" customHeight="true" outlineLevel="0" collapsed="false">
      <c r="A17" s="14" t="s">
        <v>49</v>
      </c>
      <c r="B17" s="7" t="s">
        <v>166</v>
      </c>
      <c r="C17" s="15" t="n">
        <v>0.1</v>
      </c>
      <c r="D17" s="16"/>
      <c r="E17" s="17" t="str">
        <f aca="false">IF(D17="","",C17*D17)</f>
        <v/>
      </c>
    </row>
    <row r="18" customFormat="false" ht="30" hidden="false" customHeight="true" outlineLevel="0" collapsed="false">
      <c r="A18" s="14" t="s">
        <v>120</v>
      </c>
      <c r="B18" s="7" t="s">
        <v>167</v>
      </c>
      <c r="C18" s="15" t="n">
        <v>0.1</v>
      </c>
      <c r="D18" s="16"/>
      <c r="E18" s="17" t="str">
        <f aca="false">IF(D18="","",C18*D18)</f>
        <v/>
      </c>
    </row>
    <row r="19" customFormat="false" ht="30" hidden="false" customHeight="true" outlineLevel="0" collapsed="false">
      <c r="A19" s="14" t="s">
        <v>53</v>
      </c>
      <c r="B19" s="7" t="s">
        <v>168</v>
      </c>
      <c r="C19" s="15" t="n">
        <v>0.1</v>
      </c>
      <c r="D19" s="16"/>
      <c r="E19" s="17" t="str">
        <f aca="false">IF(D19="","",C19*D19)</f>
        <v/>
      </c>
    </row>
    <row r="20" customFormat="false" ht="15" hidden="false" customHeight="false" outlineLevel="0" collapsed="false">
      <c r="A20" s="18" t="s">
        <v>169</v>
      </c>
      <c r="B20" s="18"/>
      <c r="C20" s="19" t="n">
        <f aca="false">SUM(C12:C19)</f>
        <v>1</v>
      </c>
      <c r="D20" s="20"/>
      <c r="E20" s="21" t="str">
        <f aca="false">IF(COUNT(D12:D19)=0,"",SUM(E12:E19)/SUM(C12:C19))</f>
        <v/>
      </c>
    </row>
    <row r="22" customFormat="false" ht="15" hidden="false" customHeight="false" outlineLevel="0" collapsed="false">
      <c r="A22" s="11" t="s">
        <v>170</v>
      </c>
      <c r="B22" s="22" t="str">
        <f aca="false">IF(E20="","Belum dinilai",IF(E20&gt;=4,"Sangat direkomendasikan",IF(E20&gt;=3.25,"Direkomendasikan",IF(E20&gt;=2.5,"Dipertimbangkan","Belum direkomendasikan"))))</f>
        <v>Belum dinilai</v>
      </c>
      <c r="C22" s="22"/>
      <c r="D22" s="22"/>
      <c r="E22" s="22"/>
    </row>
    <row r="24" customFormat="false" ht="45.75" hidden="false" customHeight="true" outlineLevel="0" collapsed="false">
      <c r="A24" s="23" t="s">
        <v>171</v>
      </c>
      <c r="B24" s="13"/>
      <c r="C24" s="13"/>
      <c r="D24" s="13"/>
      <c r="E24" s="13"/>
    </row>
    <row r="25" customFormat="false" ht="45.75" hidden="false" customHeight="true" outlineLevel="0" collapsed="false">
      <c r="A25" s="23" t="s">
        <v>172</v>
      </c>
      <c r="B25" s="13"/>
      <c r="C25" s="13"/>
      <c r="D25" s="13"/>
      <c r="E25" s="13"/>
    </row>
    <row r="26" customFormat="false" ht="45.75" hidden="false" customHeight="true" outlineLevel="0" collapsed="false">
      <c r="A26" s="23" t="s">
        <v>173</v>
      </c>
      <c r="B26" s="13"/>
      <c r="C26" s="13"/>
      <c r="D26" s="13"/>
      <c r="E26" s="13"/>
    </row>
    <row r="27" customFormat="false" ht="45.75" hidden="false" customHeight="true" outlineLevel="0" collapsed="false">
      <c r="A27" s="23" t="s">
        <v>174</v>
      </c>
      <c r="B27" s="13"/>
      <c r="C27" s="13"/>
      <c r="D27" s="13"/>
      <c r="E27" s="13"/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A20:B20"/>
    <mergeCell ref="B22:E22"/>
    <mergeCell ref="B24:E24"/>
    <mergeCell ref="B25:E25"/>
    <mergeCell ref="B26:E26"/>
    <mergeCell ref="B27:E27"/>
  </mergeCells>
  <dataValidations count="1">
    <dataValidation allowBlank="true" error="Isi angka 1 sampai 5." errorStyle="stop" errorTitle="Nilai tidak sah" operator="between" showDropDown="false" showErrorMessage="true" showInputMessage="false" sqref="D12:D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189</v>
      </c>
      <c r="B1" s="1"/>
      <c r="C1" s="1"/>
      <c r="D1" s="1"/>
      <c r="E1" s="1"/>
    </row>
    <row r="2" customFormat="false" ht="18" hidden="false" customHeight="true" outlineLevel="0" collapsed="false">
      <c r="A2" s="2" t="s">
        <v>146</v>
      </c>
      <c r="B2" s="2"/>
      <c r="C2" s="2"/>
      <c r="D2" s="2"/>
      <c r="E2" s="2"/>
    </row>
    <row r="4" customFormat="false" ht="15" hidden="false" customHeight="true" outlineLevel="0" collapsed="false">
      <c r="A4" s="11" t="s">
        <v>147</v>
      </c>
      <c r="B4" s="12" t="s">
        <v>190</v>
      </c>
      <c r="C4" s="12"/>
      <c r="D4" s="12"/>
      <c r="E4" s="12"/>
    </row>
    <row r="5" customFormat="false" ht="15" hidden="false" customHeight="true" outlineLevel="0" collapsed="false">
      <c r="A5" s="11" t="s">
        <v>149</v>
      </c>
      <c r="B5" s="12" t="s">
        <v>187</v>
      </c>
      <c r="C5" s="12"/>
      <c r="D5" s="12"/>
      <c r="E5" s="12"/>
    </row>
    <row r="6" customFormat="false" ht="15" hidden="false" customHeight="true" outlineLevel="0" collapsed="false">
      <c r="A6" s="11" t="s">
        <v>151</v>
      </c>
      <c r="B6" s="12" t="s">
        <v>191</v>
      </c>
      <c r="C6" s="12"/>
      <c r="D6" s="12"/>
      <c r="E6" s="12"/>
    </row>
    <row r="7" customFormat="false" ht="15" hidden="false" customHeight="false" outlineLevel="0" collapsed="false">
      <c r="A7" s="11" t="s">
        <v>153</v>
      </c>
      <c r="B7" s="13"/>
      <c r="C7" s="13"/>
      <c r="D7" s="13"/>
      <c r="E7" s="13"/>
    </row>
    <row r="8" customFormat="false" ht="15" hidden="false" customHeight="false" outlineLevel="0" collapsed="false">
      <c r="A8" s="11" t="s">
        <v>154</v>
      </c>
      <c r="B8" s="13"/>
      <c r="C8" s="13"/>
      <c r="D8" s="13"/>
      <c r="E8" s="13"/>
    </row>
    <row r="9" customFormat="false" ht="15" hidden="false" customHeight="false" outlineLevel="0" collapsed="false">
      <c r="A9" s="11" t="s">
        <v>155</v>
      </c>
      <c r="B9" s="13"/>
      <c r="C9" s="13"/>
      <c r="D9" s="13"/>
      <c r="E9" s="13"/>
    </row>
    <row r="11" customFormat="false" ht="27.75" hidden="false" customHeight="true" outlineLevel="0" collapsed="false">
      <c r="A11" s="6" t="s">
        <v>156</v>
      </c>
      <c r="B11" s="6" t="s">
        <v>157</v>
      </c>
      <c r="C11" s="6" t="s">
        <v>158</v>
      </c>
      <c r="D11" s="6" t="s">
        <v>159</v>
      </c>
      <c r="E11" s="6" t="s">
        <v>160</v>
      </c>
    </row>
    <row r="12" customFormat="false" ht="30" hidden="false" customHeight="true" outlineLevel="0" collapsed="false">
      <c r="A12" s="14" t="s">
        <v>58</v>
      </c>
      <c r="B12" s="7" t="s">
        <v>161</v>
      </c>
      <c r="C12" s="15" t="n">
        <v>0.1</v>
      </c>
      <c r="D12" s="16"/>
      <c r="E12" s="17" t="str">
        <f aca="false">IF(D12="","",C12*D12)</f>
        <v/>
      </c>
    </row>
    <row r="13" customFormat="false" ht="30" hidden="false" customHeight="true" outlineLevel="0" collapsed="false">
      <c r="A13" s="14" t="s">
        <v>70</v>
      </c>
      <c r="B13" s="7" t="s">
        <v>162</v>
      </c>
      <c r="C13" s="15" t="n">
        <v>0.15</v>
      </c>
      <c r="D13" s="16"/>
      <c r="E13" s="17" t="str">
        <f aca="false">IF(D13="","",C13*D13)</f>
        <v/>
      </c>
    </row>
    <row r="14" customFormat="false" ht="30" hidden="false" customHeight="true" outlineLevel="0" collapsed="false">
      <c r="A14" s="14" t="s">
        <v>84</v>
      </c>
      <c r="B14" s="7" t="s">
        <v>163</v>
      </c>
      <c r="C14" s="15" t="n">
        <v>0.2</v>
      </c>
      <c r="D14" s="16"/>
      <c r="E14" s="17" t="str">
        <f aca="false">IF(D14="","",C14*D14)</f>
        <v/>
      </c>
    </row>
    <row r="15" customFormat="false" ht="30" hidden="false" customHeight="true" outlineLevel="0" collapsed="false">
      <c r="A15" s="14" t="s">
        <v>65</v>
      </c>
      <c r="B15" s="7" t="s">
        <v>164</v>
      </c>
      <c r="C15" s="15" t="n">
        <v>0.15</v>
      </c>
      <c r="D15" s="16"/>
      <c r="E15" s="17" t="str">
        <f aca="false">IF(D15="","",C15*D15)</f>
        <v/>
      </c>
    </row>
    <row r="16" customFormat="false" ht="30" hidden="false" customHeight="true" outlineLevel="0" collapsed="false">
      <c r="A16" s="14" t="s">
        <v>99</v>
      </c>
      <c r="B16" s="7" t="s">
        <v>165</v>
      </c>
      <c r="C16" s="15" t="n">
        <v>0.1</v>
      </c>
      <c r="D16" s="16"/>
      <c r="E16" s="17" t="str">
        <f aca="false">IF(D16="","",C16*D16)</f>
        <v/>
      </c>
    </row>
    <row r="17" customFormat="false" ht="30" hidden="false" customHeight="true" outlineLevel="0" collapsed="false">
      <c r="A17" s="14" t="s">
        <v>49</v>
      </c>
      <c r="B17" s="7" t="s">
        <v>166</v>
      </c>
      <c r="C17" s="15" t="n">
        <v>0.1</v>
      </c>
      <c r="D17" s="16"/>
      <c r="E17" s="17" t="str">
        <f aca="false">IF(D17="","",C17*D17)</f>
        <v/>
      </c>
    </row>
    <row r="18" customFormat="false" ht="30" hidden="false" customHeight="true" outlineLevel="0" collapsed="false">
      <c r="A18" s="14" t="s">
        <v>120</v>
      </c>
      <c r="B18" s="7" t="s">
        <v>167</v>
      </c>
      <c r="C18" s="15" t="n">
        <v>0.1</v>
      </c>
      <c r="D18" s="16"/>
      <c r="E18" s="17" t="str">
        <f aca="false">IF(D18="","",C18*D18)</f>
        <v/>
      </c>
    </row>
    <row r="19" customFormat="false" ht="30" hidden="false" customHeight="true" outlineLevel="0" collapsed="false">
      <c r="A19" s="14" t="s">
        <v>53</v>
      </c>
      <c r="B19" s="7" t="s">
        <v>168</v>
      </c>
      <c r="C19" s="15" t="n">
        <v>0.1</v>
      </c>
      <c r="D19" s="16"/>
      <c r="E19" s="17" t="str">
        <f aca="false">IF(D19="","",C19*D19)</f>
        <v/>
      </c>
    </row>
    <row r="20" customFormat="false" ht="15" hidden="false" customHeight="false" outlineLevel="0" collapsed="false">
      <c r="A20" s="18" t="s">
        <v>169</v>
      </c>
      <c r="B20" s="18"/>
      <c r="C20" s="19" t="n">
        <f aca="false">SUM(C12:C19)</f>
        <v>1</v>
      </c>
      <c r="D20" s="20"/>
      <c r="E20" s="21" t="str">
        <f aca="false">IF(COUNT(D12:D19)=0,"",SUM(E12:E19)/SUM(C12:C19))</f>
        <v/>
      </c>
    </row>
    <row r="22" customFormat="false" ht="15" hidden="false" customHeight="false" outlineLevel="0" collapsed="false">
      <c r="A22" s="11" t="s">
        <v>170</v>
      </c>
      <c r="B22" s="22" t="str">
        <f aca="false">IF(E20="","Belum dinilai",IF(E20&gt;=4,"Sangat direkomendasikan",IF(E20&gt;=3.25,"Direkomendasikan",IF(E20&gt;=2.5,"Dipertimbangkan","Belum direkomendasikan"))))</f>
        <v>Belum dinilai</v>
      </c>
      <c r="C22" s="22"/>
      <c r="D22" s="22"/>
      <c r="E22" s="22"/>
    </row>
    <row r="24" customFormat="false" ht="45.75" hidden="false" customHeight="true" outlineLevel="0" collapsed="false">
      <c r="A24" s="23" t="s">
        <v>171</v>
      </c>
      <c r="B24" s="13"/>
      <c r="C24" s="13"/>
      <c r="D24" s="13"/>
      <c r="E24" s="13"/>
    </row>
    <row r="25" customFormat="false" ht="45.75" hidden="false" customHeight="true" outlineLevel="0" collapsed="false">
      <c r="A25" s="23" t="s">
        <v>172</v>
      </c>
      <c r="B25" s="13"/>
      <c r="C25" s="13"/>
      <c r="D25" s="13"/>
      <c r="E25" s="13"/>
    </row>
    <row r="26" customFormat="false" ht="45.75" hidden="false" customHeight="true" outlineLevel="0" collapsed="false">
      <c r="A26" s="23" t="s">
        <v>173</v>
      </c>
      <c r="B26" s="13"/>
      <c r="C26" s="13"/>
      <c r="D26" s="13"/>
      <c r="E26" s="13"/>
    </row>
    <row r="27" customFormat="false" ht="45.75" hidden="false" customHeight="true" outlineLevel="0" collapsed="false">
      <c r="A27" s="23" t="s">
        <v>174</v>
      </c>
      <c r="B27" s="13"/>
      <c r="C27" s="13"/>
      <c r="D27" s="13"/>
      <c r="E27" s="13"/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A20:B20"/>
    <mergeCell ref="B22:E22"/>
    <mergeCell ref="B24:E24"/>
    <mergeCell ref="B25:E25"/>
    <mergeCell ref="B26:E26"/>
    <mergeCell ref="B27:E27"/>
  </mergeCells>
  <dataValidations count="1">
    <dataValidation allowBlank="true" error="Isi angka 1 sampai 5." errorStyle="stop" errorTitle="Nilai tidak sah" operator="between" showDropDown="false" showErrorMessage="true" showInputMessage="false" sqref="D12:D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30" hidden="false" customHeight="true" outlineLevel="0" collapsed="false">
      <c r="A1" s="1" t="s">
        <v>192</v>
      </c>
      <c r="B1" s="1"/>
      <c r="C1" s="1"/>
      <c r="D1" s="1"/>
      <c r="E1" s="1"/>
    </row>
    <row r="2" customFormat="false" ht="18" hidden="false" customHeight="true" outlineLevel="0" collapsed="false">
      <c r="A2" s="2" t="s">
        <v>146</v>
      </c>
      <c r="B2" s="2"/>
      <c r="C2" s="2"/>
      <c r="D2" s="2"/>
      <c r="E2" s="2"/>
    </row>
    <row r="4" customFormat="false" ht="15" hidden="false" customHeight="true" outlineLevel="0" collapsed="false">
      <c r="A4" s="11" t="s">
        <v>147</v>
      </c>
      <c r="B4" s="12" t="s">
        <v>193</v>
      </c>
      <c r="C4" s="12"/>
      <c r="D4" s="12"/>
      <c r="E4" s="12"/>
    </row>
    <row r="5" customFormat="false" ht="15" hidden="false" customHeight="true" outlineLevel="0" collapsed="false">
      <c r="A5" s="11" t="s">
        <v>149</v>
      </c>
      <c r="B5" s="12" t="s">
        <v>187</v>
      </c>
      <c r="C5" s="12"/>
      <c r="D5" s="12"/>
      <c r="E5" s="12"/>
    </row>
    <row r="6" customFormat="false" ht="15" hidden="false" customHeight="true" outlineLevel="0" collapsed="false">
      <c r="A6" s="11" t="s">
        <v>151</v>
      </c>
      <c r="B6" s="12" t="s">
        <v>194</v>
      </c>
      <c r="C6" s="12"/>
      <c r="D6" s="12"/>
      <c r="E6" s="12"/>
    </row>
    <row r="7" customFormat="false" ht="15" hidden="false" customHeight="false" outlineLevel="0" collapsed="false">
      <c r="A7" s="11" t="s">
        <v>153</v>
      </c>
      <c r="B7" s="13"/>
      <c r="C7" s="13"/>
      <c r="D7" s="13"/>
      <c r="E7" s="13"/>
    </row>
    <row r="8" customFormat="false" ht="15" hidden="false" customHeight="false" outlineLevel="0" collapsed="false">
      <c r="A8" s="11" t="s">
        <v>154</v>
      </c>
      <c r="B8" s="13"/>
      <c r="C8" s="13"/>
      <c r="D8" s="13"/>
      <c r="E8" s="13"/>
    </row>
    <row r="9" customFormat="false" ht="15" hidden="false" customHeight="false" outlineLevel="0" collapsed="false">
      <c r="A9" s="11" t="s">
        <v>155</v>
      </c>
      <c r="B9" s="13"/>
      <c r="C9" s="13"/>
      <c r="D9" s="13"/>
      <c r="E9" s="13"/>
    </row>
    <row r="11" customFormat="false" ht="27.75" hidden="false" customHeight="true" outlineLevel="0" collapsed="false">
      <c r="A11" s="6" t="s">
        <v>156</v>
      </c>
      <c r="B11" s="6" t="s">
        <v>157</v>
      </c>
      <c r="C11" s="6" t="s">
        <v>158</v>
      </c>
      <c r="D11" s="6" t="s">
        <v>159</v>
      </c>
      <c r="E11" s="6" t="s">
        <v>160</v>
      </c>
    </row>
    <row r="12" customFormat="false" ht="30" hidden="false" customHeight="true" outlineLevel="0" collapsed="false">
      <c r="A12" s="14" t="s">
        <v>58</v>
      </c>
      <c r="B12" s="7" t="s">
        <v>161</v>
      </c>
      <c r="C12" s="15" t="n">
        <v>0.1</v>
      </c>
      <c r="D12" s="16"/>
      <c r="E12" s="17" t="str">
        <f aca="false">IF(D12="","",C12*D12)</f>
        <v/>
      </c>
    </row>
    <row r="13" customFormat="false" ht="30" hidden="false" customHeight="true" outlineLevel="0" collapsed="false">
      <c r="A13" s="14" t="s">
        <v>70</v>
      </c>
      <c r="B13" s="7" t="s">
        <v>162</v>
      </c>
      <c r="C13" s="15" t="n">
        <v>0.15</v>
      </c>
      <c r="D13" s="16"/>
      <c r="E13" s="17" t="str">
        <f aca="false">IF(D13="","",C13*D13)</f>
        <v/>
      </c>
    </row>
    <row r="14" customFormat="false" ht="30" hidden="false" customHeight="true" outlineLevel="0" collapsed="false">
      <c r="A14" s="14" t="s">
        <v>84</v>
      </c>
      <c r="B14" s="7" t="s">
        <v>163</v>
      </c>
      <c r="C14" s="15" t="n">
        <v>0.2</v>
      </c>
      <c r="D14" s="16"/>
      <c r="E14" s="17" t="str">
        <f aca="false">IF(D14="","",C14*D14)</f>
        <v/>
      </c>
    </row>
    <row r="15" customFormat="false" ht="30" hidden="false" customHeight="true" outlineLevel="0" collapsed="false">
      <c r="A15" s="14" t="s">
        <v>65</v>
      </c>
      <c r="B15" s="7" t="s">
        <v>164</v>
      </c>
      <c r="C15" s="15" t="n">
        <v>0.15</v>
      </c>
      <c r="D15" s="16"/>
      <c r="E15" s="17" t="str">
        <f aca="false">IF(D15="","",C15*D15)</f>
        <v/>
      </c>
    </row>
    <row r="16" customFormat="false" ht="30" hidden="false" customHeight="true" outlineLevel="0" collapsed="false">
      <c r="A16" s="14" t="s">
        <v>99</v>
      </c>
      <c r="B16" s="7" t="s">
        <v>165</v>
      </c>
      <c r="C16" s="15" t="n">
        <v>0.1</v>
      </c>
      <c r="D16" s="16"/>
      <c r="E16" s="17" t="str">
        <f aca="false">IF(D16="","",C16*D16)</f>
        <v/>
      </c>
    </row>
    <row r="17" customFormat="false" ht="30" hidden="false" customHeight="true" outlineLevel="0" collapsed="false">
      <c r="A17" s="14" t="s">
        <v>49</v>
      </c>
      <c r="B17" s="7" t="s">
        <v>166</v>
      </c>
      <c r="C17" s="15" t="n">
        <v>0.1</v>
      </c>
      <c r="D17" s="16"/>
      <c r="E17" s="17" t="str">
        <f aca="false">IF(D17="","",C17*D17)</f>
        <v/>
      </c>
    </row>
    <row r="18" customFormat="false" ht="30" hidden="false" customHeight="true" outlineLevel="0" collapsed="false">
      <c r="A18" s="14" t="s">
        <v>120</v>
      </c>
      <c r="B18" s="7" t="s">
        <v>167</v>
      </c>
      <c r="C18" s="15" t="n">
        <v>0.1</v>
      </c>
      <c r="D18" s="16"/>
      <c r="E18" s="17" t="str">
        <f aca="false">IF(D18="","",C18*D18)</f>
        <v/>
      </c>
    </row>
    <row r="19" customFormat="false" ht="30" hidden="false" customHeight="true" outlineLevel="0" collapsed="false">
      <c r="A19" s="14" t="s">
        <v>53</v>
      </c>
      <c r="B19" s="7" t="s">
        <v>168</v>
      </c>
      <c r="C19" s="15" t="n">
        <v>0.1</v>
      </c>
      <c r="D19" s="16"/>
      <c r="E19" s="17" t="str">
        <f aca="false">IF(D19="","",C19*D19)</f>
        <v/>
      </c>
    </row>
    <row r="20" customFormat="false" ht="15" hidden="false" customHeight="false" outlineLevel="0" collapsed="false">
      <c r="A20" s="18" t="s">
        <v>169</v>
      </c>
      <c r="B20" s="18"/>
      <c r="C20" s="19" t="n">
        <f aca="false">SUM(C12:C19)</f>
        <v>1</v>
      </c>
      <c r="D20" s="20"/>
      <c r="E20" s="21" t="str">
        <f aca="false">IF(COUNT(D12:D19)=0,"",SUM(E12:E19)/SUM(C12:C19))</f>
        <v/>
      </c>
    </row>
    <row r="22" customFormat="false" ht="15" hidden="false" customHeight="false" outlineLevel="0" collapsed="false">
      <c r="A22" s="11" t="s">
        <v>170</v>
      </c>
      <c r="B22" s="22" t="str">
        <f aca="false">IF(E20="","Belum dinilai",IF(E20&gt;=4,"Sangat direkomendasikan",IF(E20&gt;=3.25,"Direkomendasikan",IF(E20&gt;=2.5,"Dipertimbangkan","Belum direkomendasikan"))))</f>
        <v>Belum dinilai</v>
      </c>
      <c r="C22" s="22"/>
      <c r="D22" s="22"/>
      <c r="E22" s="22"/>
    </row>
    <row r="24" customFormat="false" ht="45.75" hidden="false" customHeight="true" outlineLevel="0" collapsed="false">
      <c r="A24" s="23" t="s">
        <v>171</v>
      </c>
      <c r="B24" s="13"/>
      <c r="C24" s="13"/>
      <c r="D24" s="13"/>
      <c r="E24" s="13"/>
    </row>
    <row r="25" customFormat="false" ht="45.75" hidden="false" customHeight="true" outlineLevel="0" collapsed="false">
      <c r="A25" s="23" t="s">
        <v>172</v>
      </c>
      <c r="B25" s="13"/>
      <c r="C25" s="13"/>
      <c r="D25" s="13"/>
      <c r="E25" s="13"/>
    </row>
    <row r="26" customFormat="false" ht="45.75" hidden="false" customHeight="true" outlineLevel="0" collapsed="false">
      <c r="A26" s="23" t="s">
        <v>173</v>
      </c>
      <c r="B26" s="13"/>
      <c r="C26" s="13"/>
      <c r="D26" s="13"/>
      <c r="E26" s="13"/>
    </row>
    <row r="27" customFormat="false" ht="45.75" hidden="false" customHeight="true" outlineLevel="0" collapsed="false">
      <c r="A27" s="23" t="s">
        <v>174</v>
      </c>
      <c r="B27" s="13"/>
      <c r="C27" s="13"/>
      <c r="D27" s="13"/>
      <c r="E27" s="13"/>
    </row>
  </sheetData>
  <mergeCells count="14">
    <mergeCell ref="A1:E1"/>
    <mergeCell ref="A2:E2"/>
    <mergeCell ref="B4:E4"/>
    <mergeCell ref="B5:E5"/>
    <mergeCell ref="B6:E6"/>
    <mergeCell ref="B7:E7"/>
    <mergeCell ref="B8:E8"/>
    <mergeCell ref="B9:E9"/>
    <mergeCell ref="A20:B20"/>
    <mergeCell ref="B22:E22"/>
    <mergeCell ref="B24:E24"/>
    <mergeCell ref="B25:E25"/>
    <mergeCell ref="B26:E26"/>
    <mergeCell ref="B27:E27"/>
  </mergeCells>
  <dataValidations count="1">
    <dataValidation allowBlank="true" error="Isi angka 1 sampai 5." errorStyle="stop" errorTitle="Nilai tidak sah" operator="between" showDropDown="false" showErrorMessage="true" showInputMessage="false" sqref="D12:D19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4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30" hidden="false" customHeight="true" outlineLevel="0" collapsed="false">
      <c r="A1" s="1" t="s">
        <v>195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196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6" t="s">
        <v>39</v>
      </c>
      <c r="B4" s="6" t="s">
        <v>147</v>
      </c>
      <c r="C4" s="6" t="s">
        <v>149</v>
      </c>
      <c r="D4" s="6" t="s">
        <v>197</v>
      </c>
      <c r="E4" s="6" t="s">
        <v>198</v>
      </c>
      <c r="F4" s="6" t="s">
        <v>199</v>
      </c>
    </row>
    <row r="5" customFormat="false" ht="30" hidden="false" customHeight="true" outlineLevel="0" collapsed="false">
      <c r="A5" s="24" t="n">
        <v>1</v>
      </c>
      <c r="B5" s="7" t="s">
        <v>148</v>
      </c>
      <c r="C5" s="7" t="s">
        <v>150</v>
      </c>
      <c r="D5" s="7" t="s">
        <v>152</v>
      </c>
      <c r="E5" s="25" t="str">
        <f aca="false">'1 Berry'!E20</f>
        <v/>
      </c>
      <c r="F5" s="7" t="str">
        <f aca="false">'1 Berry'!B22</f>
        <v>Belum dinilai</v>
      </c>
    </row>
    <row r="6" customFormat="false" ht="30" hidden="false" customHeight="true" outlineLevel="0" collapsed="false">
      <c r="A6" s="24" t="n">
        <v>2</v>
      </c>
      <c r="B6" s="7" t="s">
        <v>176</v>
      </c>
      <c r="C6" s="7" t="s">
        <v>150</v>
      </c>
      <c r="D6" s="7" t="s">
        <v>177</v>
      </c>
      <c r="E6" s="25" t="str">
        <f aca="false">'2 Zaidan'!E20</f>
        <v/>
      </c>
      <c r="F6" s="7" t="str">
        <f aca="false">'2 Zaidan'!B22</f>
        <v>Belum dinilai</v>
      </c>
    </row>
    <row r="7" customFormat="false" ht="30" hidden="false" customHeight="true" outlineLevel="0" collapsed="false">
      <c r="A7" s="24" t="n">
        <v>3</v>
      </c>
      <c r="B7" s="7" t="s">
        <v>179</v>
      </c>
      <c r="C7" s="7" t="s">
        <v>180</v>
      </c>
      <c r="D7" s="7" t="s">
        <v>181</v>
      </c>
      <c r="E7" s="25" t="str">
        <f aca="false">'3 Prima'!E20</f>
        <v/>
      </c>
      <c r="F7" s="7" t="str">
        <f aca="false">'3 Prima'!B22</f>
        <v>Belum dinilai</v>
      </c>
    </row>
    <row r="8" customFormat="false" ht="30" hidden="false" customHeight="true" outlineLevel="0" collapsed="false">
      <c r="A8" s="24" t="n">
        <v>4</v>
      </c>
      <c r="B8" s="7" t="s">
        <v>183</v>
      </c>
      <c r="C8" s="7" t="s">
        <v>180</v>
      </c>
      <c r="D8" s="7" t="s">
        <v>184</v>
      </c>
      <c r="E8" s="25" t="str">
        <f aca="false">'4 Ridho'!E20</f>
        <v/>
      </c>
      <c r="F8" s="7" t="str">
        <f aca="false">'4 Ridho'!B22</f>
        <v>Belum dinilai</v>
      </c>
    </row>
    <row r="9" customFormat="false" ht="30" hidden="false" customHeight="true" outlineLevel="0" collapsed="false">
      <c r="A9" s="24" t="n">
        <v>5</v>
      </c>
      <c r="B9" s="7" t="s">
        <v>186</v>
      </c>
      <c r="C9" s="7" t="s">
        <v>187</v>
      </c>
      <c r="D9" s="7" t="s">
        <v>188</v>
      </c>
      <c r="E9" s="25" t="str">
        <f aca="false">'5 Debora'!E20</f>
        <v/>
      </c>
      <c r="F9" s="7" t="str">
        <f aca="false">'5 Debora'!B22</f>
        <v>Belum dinilai</v>
      </c>
    </row>
    <row r="10" customFormat="false" ht="30" hidden="false" customHeight="true" outlineLevel="0" collapsed="false">
      <c r="A10" s="24" t="n">
        <v>6</v>
      </c>
      <c r="B10" s="7" t="s">
        <v>190</v>
      </c>
      <c r="C10" s="7" t="s">
        <v>187</v>
      </c>
      <c r="D10" s="7" t="s">
        <v>191</v>
      </c>
      <c r="E10" s="25" t="str">
        <f aca="false">'6 Christian'!E20</f>
        <v/>
      </c>
      <c r="F10" s="7" t="str">
        <f aca="false">'6 Christian'!B22</f>
        <v>Belum dinilai</v>
      </c>
    </row>
    <row r="11" customFormat="false" ht="30" hidden="false" customHeight="true" outlineLevel="0" collapsed="false">
      <c r="A11" s="24" t="n">
        <v>7</v>
      </c>
      <c r="B11" s="7" t="s">
        <v>193</v>
      </c>
      <c r="C11" s="7" t="s">
        <v>187</v>
      </c>
      <c r="D11" s="7" t="s">
        <v>194</v>
      </c>
      <c r="E11" s="25" t="str">
        <f aca="false">'7 Hanna'!E20</f>
        <v/>
      </c>
      <c r="F11" s="7" t="str">
        <f aca="false">'7 Hanna'!B22</f>
        <v>Belum dinilai</v>
      </c>
    </row>
    <row r="13" customFormat="false" ht="15" hidden="false" customHeight="false" outlineLevel="0" collapsed="false">
      <c r="B13" s="26" t="s">
        <v>200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2026-08-31T08:38:37Z</dcterms:created>
  <dc:creator>openpyxl</dc:creator>
  <dc:description/>
  <dc:language>en-US</dc:language>
  <cp:lastModifiedBy/>
  <dcterms:modified xsi:type="dcterms:W3CDTF">2026-08-31T08:38:37Z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